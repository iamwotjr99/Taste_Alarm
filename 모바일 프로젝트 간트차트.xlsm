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wotjr\강의자료\2학년 2학기\모바일프로그래밍\맛알람 프로젝트\"/>
    </mc:Choice>
  </mc:AlternateContent>
  <xr:revisionPtr revIDLastSave="0" documentId="13_ncr:1_{3EACA5C9-65FA-4065-924D-A2D0CB4F069E}" xr6:coauthVersionLast="47" xr6:coauthVersionMax="47" xr10:uidLastSave="{00000000-0000-0000-0000-000000000000}"/>
  <bookViews>
    <workbookView xWindow="23040" yWindow="1005" windowWidth="14340" windowHeight="14325"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 name="Gantt" sheetId="19" r:id="rId10"/>
  </sheets>
  <functionGroups builtInGroupCount="19"/>
  <definedNames>
    <definedName name="_xlnm._FilterDatabase" localSheetId="2" hidden="1">Schedule!$P$3:$AC$4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Schedule!$D$1:$AV$34</definedName>
    <definedName name="_xlnm.Print_Titles" localSheetId="9">Gantt!$4:$6</definedName>
    <definedName name="Project_Start">Gantt!$E$2</definedName>
    <definedName name="RATE_GAP">Progress!$B$24</definedName>
    <definedName name="RNG_ACTUAL_END_DATE_COL_NAME">Schedule!$Y$3</definedName>
    <definedName name="RNG_ACTUAL_RATE_COL_NAME">Schedule!$AF$3</definedName>
    <definedName name="RNG_ACTUAL_START_DATE_COL_NAME">Schedule!$X$3</definedName>
    <definedName name="RNG_ACTUAL_TOTAL_DURATION_COL_NAME">Schedule!$AA$3</definedName>
    <definedName name="RNG_ACTUAL_TOTAL_WORKLOAD_COL_NAME">Schedule!$Z$3</definedName>
    <definedName name="RNG_CALENDAR_COL_NAME">Schedule!$S$3</definedName>
    <definedName name="RNG_DELIVERABLES_COL_NAME">Schedule!$AD$3</definedName>
    <definedName name="RNG_END_DATE_COL_NAME">Schedule!$R$3</definedName>
    <definedName name="RNG_ETC_COL_NAME">Schedule!$O$3</definedName>
    <definedName name="RNG_GANTT_AREA_FIRST_COL_NAME">Schedule!$AG$4</definedName>
    <definedName name="RNG_PLAN_DURATION_COL_NAME">Schedule!$W$3</definedName>
    <definedName name="RNG_PLAN_RATE_COL_NAME">Schedule!$AE$3</definedName>
    <definedName name="RNG_PLAN_WORKLOAD_COL_NAME">Schedule!$U$3</definedName>
    <definedName name="RNG_RESOURCE_COL_NAME">Schedule!$AC$3</definedName>
    <definedName name="RNG_RESOURCE_WEIGHT_COL_NAME">Schedule!$AB$3</definedName>
    <definedName name="RNG_START_DATE_COL_NAME">Schedule!$P$3</definedName>
    <definedName name="RNG_TASK_FIRST_COL_NAME">Schedule!$E$3</definedName>
    <definedName name="RNG_TOTAL_DURATION_COL_NAME">Schedule!$V$3</definedName>
    <definedName name="RNG_TOTAL_WORKLOAD_COL_NAME">Schedule!$T$3</definedName>
    <definedName name="RNG_WBS_AREA_LAST_COL_NAME">Schedule!$AF$3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Schedule!$E$4:$X$4</definedName>
    <definedName name="Z_0A64F8D9_59E4_4471_A54B_AB6085820F8B_.wvu.FilterData" localSheetId="2" hidden="1">Schedule!$E$4:$X$4</definedName>
    <definedName name="Z_0A64F8D9_59E4_4471_A54B_AB6085820F8B_.wvu.PrintArea" localSheetId="2" hidden="1">Schedule!$E$4:$AF$4</definedName>
    <definedName name="Z_0B810681_CC81_4141_9F16_24B3FD4F0FB8_.wvu.FilterData" localSheetId="2" hidden="1">Schedule!$E$4:$X$4</definedName>
    <definedName name="Z_0B810681_CC81_4141_9F16_24B3FD4F0FB8_.wvu.PrintArea" localSheetId="2" hidden="1">Schedule!$E$4:$AF$4</definedName>
    <definedName name="Z_45F170B6_3544_43F8_BFC7_D657B723AABC_.wvu.FilterData" localSheetId="2" hidden="1">Schedule!$E$4:$X$4</definedName>
    <definedName name="Z_45F170B6_3544_43F8_BFC7_D657B723AABC_.wvu.PrintArea" localSheetId="2" hidden="1">Schedule!$E$4:$AF$4</definedName>
    <definedName name="Z_6C04A49A_6140_42F5_B660_358F3428D555_.wvu.FilterData" localSheetId="2" hidden="1">Schedule!$E$4:$X$4</definedName>
    <definedName name="Z_6C04A49A_6140_42F5_B660_358F3428D555_.wvu.PrintArea" localSheetId="2" hidden="1">Schedule!$E$4:$AF$4</definedName>
    <definedName name="Z_717B341C_ADF7_4494_8FE3_F9159C14788B_.wvu.FilterData" localSheetId="2" hidden="1">Schedule!$E$4:$X$4</definedName>
    <definedName name="Z_96DEAA77_2828_4E97_975A_CF93EF5D9712_.wvu.FilterData" localSheetId="2" hidden="1">Schedule!$E$4:$X$4</definedName>
    <definedName name="Z_AF9F6769_16BA_4444_B539_537212F9672A_.wvu.FilterData" localSheetId="2" hidden="1">Schedule!$E$4:$X$4</definedName>
    <definedName name="Z_AF9F6769_16BA_4444_B539_537212F9672A_.wvu.PrintArea" localSheetId="2" hidden="1">Schedule!$E$4:$AF$4</definedName>
    <definedName name="Z_B0AA3114_3257_4D99_8E15_F0A183B56293_.wvu.FilterData" localSheetId="2" hidden="1">Schedule!$E$4:$X$4</definedName>
    <definedName name="Z_B4798534_C27D_422C_BD87_0A71D9C8BAA9_.wvu.FilterData" localSheetId="2" hidden="1">Schedule!$E$4:$X$4</definedName>
    <definedName name="Z_C7B87852_3417_4B82_AD8F_04929FC46960_.wvu.FilterData" localSheetId="2" hidden="1">Schedule!$E$4:$X$4</definedName>
    <definedName name="Z_CD147E05_78AB_4F1A_996E_7FAB0BB4629B_.wvu.FilterData" localSheetId="2" hidden="1">Schedule!$E$4:$X$4</definedName>
    <definedName name="Z_F8F33EAC_6737_4237_A48D_05833D89E8C9_.wvu.FilterData" localSheetId="2" hidden="1">Schedule!$E$4:$X$4</definedName>
    <definedName name="Z_F8F33EAC_6737_4237_A48D_05833D89E8C9_.wvu.PrintArea" localSheetId="2" hidden="1">Schedule!$E$4:$AF$4</definedName>
    <definedName name="Z_FA644498_2FA7_4E23_AA15_463455A1D2EE_.wvu.FilterData" localSheetId="2" hidden="1">Schedule!$E$4:$X$4</definedName>
    <definedName name="스크롤_증분">Gantt!$E$3</definedName>
    <definedName name="오늘​​" localSheetId="9">TODAY()</definedName>
    <definedName name="중요_시점_표식">Gantt!$E$4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5" i="2" l="1"/>
  <c r="AK5" i="2"/>
  <c r="AG6" i="2"/>
  <c r="AG7" i="2"/>
  <c r="AG8" i="2"/>
  <c r="AH9" i="2"/>
  <c r="AG10" i="2"/>
  <c r="AH11" i="2"/>
  <c r="AH12" i="2"/>
  <c r="AH13" i="2"/>
  <c r="AH14" i="2"/>
  <c r="AH15" i="2"/>
  <c r="AH16" i="2"/>
  <c r="AH17" i="2"/>
  <c r="AH18" i="2"/>
  <c r="AI19" i="2"/>
  <c r="AI20" i="2"/>
  <c r="AI21" i="2"/>
  <c r="AI22" i="2"/>
  <c r="AI23" i="2"/>
  <c r="AI24" i="2"/>
  <c r="AI25" i="2"/>
  <c r="AI26" i="2"/>
  <c r="AI27" i="2"/>
  <c r="AJ28" i="2"/>
  <c r="AJ29" i="2"/>
  <c r="AJ30" i="2"/>
  <c r="AJ31" i="2"/>
  <c r="AJ32" i="2"/>
  <c r="AJ33" i="2"/>
  <c r="AK34" i="2"/>
  <c r="BK32" i="19"/>
  <c r="BJ32" i="19"/>
  <c r="BI32" i="19"/>
  <c r="BH32" i="19"/>
  <c r="BG32" i="19"/>
  <c r="BF32" i="19"/>
  <c r="BE32" i="19"/>
  <c r="BD32" i="19"/>
  <c r="BC32" i="19"/>
  <c r="BB32" i="19"/>
  <c r="BA32" i="19"/>
  <c r="AZ32" i="19"/>
  <c r="AY32" i="19"/>
  <c r="AX32" i="19"/>
  <c r="AW32" i="19"/>
  <c r="AV32" i="19"/>
  <c r="AU32" i="19"/>
  <c r="AT32" i="19"/>
  <c r="AS32" i="19"/>
  <c r="AR32" i="19"/>
  <c r="AQ32"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L32" i="19"/>
  <c r="K32" i="19"/>
  <c r="J32" i="19"/>
  <c r="I32" i="19"/>
  <c r="H32" i="19"/>
  <c r="BK31" i="19"/>
  <c r="BJ31" i="19"/>
  <c r="BI31" i="19"/>
  <c r="BH31" i="19"/>
  <c r="BG31" i="19"/>
  <c r="BF31" i="19"/>
  <c r="BE31" i="19"/>
  <c r="BD31" i="19"/>
  <c r="BC31" i="19"/>
  <c r="BB31" i="19"/>
  <c r="BA31" i="19"/>
  <c r="AZ31" i="19"/>
  <c r="AY31" i="19"/>
  <c r="AX31" i="19"/>
  <c r="AW31" i="19"/>
  <c r="AV31" i="19"/>
  <c r="AU31" i="19"/>
  <c r="AT31" i="19"/>
  <c r="AS31" i="19"/>
  <c r="AR31" i="19"/>
  <c r="AQ31" i="19"/>
  <c r="AP31" i="19"/>
  <c r="AO31" i="19"/>
  <c r="AN31" i="19"/>
  <c r="AM31" i="19"/>
  <c r="AL31" i="19"/>
  <c r="AK31" i="19"/>
  <c r="AJ31" i="19"/>
  <c r="AI31" i="19"/>
  <c r="AH31" i="19"/>
  <c r="AG31" i="19"/>
  <c r="AF31" i="19"/>
  <c r="AE31" i="19"/>
  <c r="AD31" i="19"/>
  <c r="AC31" i="19"/>
  <c r="AB31" i="19"/>
  <c r="AA31" i="19"/>
  <c r="Z31" i="19"/>
  <c r="Y31" i="19"/>
  <c r="X31" i="19"/>
  <c r="W31" i="19"/>
  <c r="V31" i="19"/>
  <c r="U31" i="19"/>
  <c r="T31" i="19"/>
  <c r="S31" i="19"/>
  <c r="R31" i="19"/>
  <c r="Q31" i="19"/>
  <c r="P31" i="19"/>
  <c r="O31" i="19"/>
  <c r="N31" i="19"/>
  <c r="M31" i="19"/>
  <c r="L31" i="19"/>
  <c r="K31" i="19"/>
  <c r="J31" i="19"/>
  <c r="I31" i="19"/>
  <c r="H31" i="19"/>
  <c r="BK30" i="19"/>
  <c r="BJ30" i="19"/>
  <c r="BI30" i="19"/>
  <c r="BH30" i="19"/>
  <c r="BG30" i="19"/>
  <c r="BF30" i="19"/>
  <c r="BE30" i="19"/>
  <c r="BD30" i="19"/>
  <c r="BC30" i="19"/>
  <c r="BB30" i="19"/>
  <c r="BA30" i="19"/>
  <c r="AZ30" i="19"/>
  <c r="AY30" i="19"/>
  <c r="AX30" i="19"/>
  <c r="AW30" i="19"/>
  <c r="AV30" i="19"/>
  <c r="AU30" i="19"/>
  <c r="AT30" i="19"/>
  <c r="AS30" i="19"/>
  <c r="AR30" i="19"/>
  <c r="AQ30" i="19"/>
  <c r="AP30" i="19"/>
  <c r="AO30" i="19"/>
  <c r="AN30" i="19"/>
  <c r="AM30" i="19"/>
  <c r="AL30" i="19"/>
  <c r="AK30" i="19"/>
  <c r="AJ30" i="19"/>
  <c r="AI30" i="19"/>
  <c r="AH30" i="19"/>
  <c r="AG30" i="19"/>
  <c r="AF30" i="19"/>
  <c r="AE30" i="19"/>
  <c r="AD30" i="19"/>
  <c r="AC30" i="19"/>
  <c r="AB30" i="19"/>
  <c r="AA30" i="19"/>
  <c r="Z30" i="19"/>
  <c r="Y30" i="19"/>
  <c r="X30" i="19"/>
  <c r="W30" i="19"/>
  <c r="V30" i="19"/>
  <c r="U30" i="19"/>
  <c r="T30" i="19"/>
  <c r="S30" i="19"/>
  <c r="R30" i="19"/>
  <c r="Q30" i="19"/>
  <c r="P30" i="19"/>
  <c r="O30" i="19"/>
  <c r="N30" i="19"/>
  <c r="M30" i="19"/>
  <c r="L30" i="19"/>
  <c r="K30" i="19"/>
  <c r="J30" i="19"/>
  <c r="I30" i="19"/>
  <c r="H30" i="19"/>
  <c r="E29" i="19"/>
  <c r="E28" i="19"/>
  <c r="E27" i="19"/>
  <c r="BK26" i="19"/>
  <c r="BJ26" i="19"/>
  <c r="BI26" i="19"/>
  <c r="BH26" i="19"/>
  <c r="BG26" i="19"/>
  <c r="BF26" i="19"/>
  <c r="BE26" i="19"/>
  <c r="BD26" i="19"/>
  <c r="BC26" i="19"/>
  <c r="BB26" i="19"/>
  <c r="BA26" i="19"/>
  <c r="AZ26" i="19"/>
  <c r="AY26" i="19"/>
  <c r="AX26" i="19"/>
  <c r="AW26" i="19"/>
  <c r="AV26" i="19"/>
  <c r="AU26" i="19"/>
  <c r="AT26" i="19"/>
  <c r="AS26" i="19"/>
  <c r="AR26" i="19"/>
  <c r="AQ26" i="19"/>
  <c r="AP26" i="19"/>
  <c r="AO26" i="19"/>
  <c r="AN26" i="19"/>
  <c r="AM26" i="19"/>
  <c r="AL26" i="19"/>
  <c r="AK26" i="19"/>
  <c r="AJ26" i="19"/>
  <c r="AI26" i="19"/>
  <c r="AH26" i="19"/>
  <c r="AG26" i="19"/>
  <c r="AF26" i="19"/>
  <c r="AE26" i="19"/>
  <c r="AD26" i="19"/>
  <c r="AC26" i="19"/>
  <c r="AB26" i="19"/>
  <c r="AA26" i="19"/>
  <c r="Z26" i="19"/>
  <c r="Y26" i="19"/>
  <c r="X26" i="19"/>
  <c r="W26" i="19"/>
  <c r="V26" i="19"/>
  <c r="U26" i="19"/>
  <c r="T26" i="19"/>
  <c r="S26" i="19"/>
  <c r="R26" i="19"/>
  <c r="Q26" i="19"/>
  <c r="P26" i="19"/>
  <c r="O26" i="19"/>
  <c r="N26" i="19"/>
  <c r="M26" i="19"/>
  <c r="L26" i="19"/>
  <c r="K26" i="19"/>
  <c r="J26" i="19"/>
  <c r="I26" i="19"/>
  <c r="H26" i="19"/>
  <c r="E25" i="19"/>
  <c r="E24" i="19"/>
  <c r="E23" i="19"/>
  <c r="E22" i="19"/>
  <c r="E21" i="19"/>
  <c r="BK20" i="19"/>
  <c r="BJ20" i="19"/>
  <c r="BI20" i="19"/>
  <c r="BH20" i="19"/>
  <c r="BG20" i="19"/>
  <c r="BF20" i="19"/>
  <c r="BE20" i="19"/>
  <c r="BD20" i="19"/>
  <c r="BC20" i="19"/>
  <c r="BB20" i="19"/>
  <c r="BA20" i="19"/>
  <c r="AZ20" i="19"/>
  <c r="AY20" i="19"/>
  <c r="AX20" i="19"/>
  <c r="AW20" i="19"/>
  <c r="AV20" i="19"/>
  <c r="AU20" i="19"/>
  <c r="AT20" i="19"/>
  <c r="AS20" i="19"/>
  <c r="AR20" i="19"/>
  <c r="AQ20" i="19"/>
  <c r="AP20" i="19"/>
  <c r="AO20" i="19"/>
  <c r="AN20" i="19"/>
  <c r="AM20" i="19"/>
  <c r="AL20" i="19"/>
  <c r="AK20" i="19"/>
  <c r="AJ20" i="19"/>
  <c r="AI20" i="19"/>
  <c r="AH20" i="19"/>
  <c r="AG20" i="19"/>
  <c r="AF20" i="19"/>
  <c r="AE20" i="19"/>
  <c r="AD20" i="19"/>
  <c r="AC20" i="19"/>
  <c r="AB20" i="19"/>
  <c r="AA20" i="19"/>
  <c r="Z20" i="19"/>
  <c r="Y20" i="19"/>
  <c r="X20" i="19"/>
  <c r="W20" i="19"/>
  <c r="V20" i="19"/>
  <c r="U20" i="19"/>
  <c r="T20" i="19"/>
  <c r="S20" i="19"/>
  <c r="R20" i="19"/>
  <c r="Q20" i="19"/>
  <c r="P20" i="19"/>
  <c r="O20" i="19"/>
  <c r="N20" i="19"/>
  <c r="M20" i="19"/>
  <c r="L20" i="19"/>
  <c r="K20" i="19"/>
  <c r="J20" i="19"/>
  <c r="I20" i="19"/>
  <c r="H20" i="19"/>
  <c r="E19" i="19"/>
  <c r="E18" i="19"/>
  <c r="E17" i="19"/>
  <c r="E16" i="19"/>
  <c r="E15" i="19"/>
  <c r="BK14" i="19"/>
  <c r="BJ14" i="19"/>
  <c r="BI14" i="19"/>
  <c r="BH14" i="19"/>
  <c r="BG14" i="19"/>
  <c r="BF14" i="19"/>
  <c r="BE14" i="19"/>
  <c r="BD14" i="19"/>
  <c r="BC14" i="19"/>
  <c r="BB14" i="19"/>
  <c r="BA14" i="19"/>
  <c r="AZ14" i="19"/>
  <c r="AY14" i="19"/>
  <c r="AX14" i="19"/>
  <c r="AW14" i="19"/>
  <c r="AV14" i="19"/>
  <c r="AU14" i="19"/>
  <c r="AT14" i="19"/>
  <c r="AS14" i="19"/>
  <c r="AR14" i="19"/>
  <c r="AQ14" i="19"/>
  <c r="AP14" i="19"/>
  <c r="AO14" i="19"/>
  <c r="AN14" i="19"/>
  <c r="AM14" i="19"/>
  <c r="AL14" i="19"/>
  <c r="AK14" i="19"/>
  <c r="AJ14" i="19"/>
  <c r="AI14" i="19"/>
  <c r="AH14" i="19"/>
  <c r="AG14" i="19"/>
  <c r="AF14" i="19"/>
  <c r="AE14" i="19"/>
  <c r="AD14" i="19"/>
  <c r="AC14" i="19"/>
  <c r="AB14" i="19"/>
  <c r="AA14" i="19"/>
  <c r="Z14" i="19"/>
  <c r="Y14" i="19"/>
  <c r="X14" i="19"/>
  <c r="W14" i="19"/>
  <c r="V14" i="19"/>
  <c r="U14" i="19"/>
  <c r="T14" i="19"/>
  <c r="S14" i="19"/>
  <c r="R14" i="19"/>
  <c r="Q14" i="19"/>
  <c r="P14" i="19"/>
  <c r="O14" i="19"/>
  <c r="N14" i="19"/>
  <c r="M14" i="19"/>
  <c r="L14" i="19"/>
  <c r="K14" i="19"/>
  <c r="J14" i="19"/>
  <c r="I14" i="19"/>
  <c r="H14" i="19"/>
  <c r="E13" i="19"/>
  <c r="E12" i="19"/>
  <c r="E11" i="19"/>
  <c r="E10" i="19"/>
  <c r="E9" i="19"/>
  <c r="BK8" i="19"/>
  <c r="BJ8" i="19"/>
  <c r="BI8" i="19"/>
  <c r="BH8" i="19"/>
  <c r="BG8" i="19"/>
  <c r="BF8" i="19"/>
  <c r="BE8" i="19"/>
  <c r="BD8" i="19"/>
  <c r="BC8" i="19"/>
  <c r="BB8" i="19"/>
  <c r="BA8" i="19"/>
  <c r="AZ8" i="19"/>
  <c r="AY8" i="19"/>
  <c r="AX8" i="19"/>
  <c r="AW8" i="19"/>
  <c r="AV8" i="19"/>
  <c r="AU8" i="19"/>
  <c r="AT8" i="19"/>
  <c r="AS8" i="19"/>
  <c r="AR8" i="19"/>
  <c r="AQ8" i="19"/>
  <c r="AP8" i="19"/>
  <c r="AO8" i="19"/>
  <c r="AN8" i="19"/>
  <c r="AM8" i="19"/>
  <c r="AL8" i="19"/>
  <c r="AK8" i="19"/>
  <c r="AJ8" i="19"/>
  <c r="AI8" i="19"/>
  <c r="AH8" i="19"/>
  <c r="AG8" i="19"/>
  <c r="AF8" i="19"/>
  <c r="AE8" i="19"/>
  <c r="AD8" i="19"/>
  <c r="AC8" i="19"/>
  <c r="AB8" i="19"/>
  <c r="AA8" i="19"/>
  <c r="Z8" i="19"/>
  <c r="Y8" i="19"/>
  <c r="X8" i="19"/>
  <c r="W8" i="19"/>
  <c r="V8" i="19"/>
  <c r="U8" i="19"/>
  <c r="T8" i="19"/>
  <c r="S8" i="19"/>
  <c r="R8" i="19"/>
  <c r="Q8" i="19"/>
  <c r="P8" i="19"/>
  <c r="O8" i="19"/>
  <c r="N8" i="19"/>
  <c r="M8" i="19"/>
  <c r="L8" i="19"/>
  <c r="K8" i="19"/>
  <c r="J8" i="19"/>
  <c r="I8" i="19"/>
  <c r="H8" i="19"/>
  <c r="F4" i="19"/>
  <c r="E2" i="19" l="1"/>
  <c r="H5" i="19" s="1"/>
  <c r="H28" i="19" l="1"/>
  <c r="H23" i="19"/>
  <c r="H27" i="19"/>
  <c r="H25" i="19"/>
  <c r="H29" i="19"/>
  <c r="H24" i="19"/>
  <c r="H22" i="19"/>
  <c r="H21" i="19"/>
  <c r="H16" i="19"/>
  <c r="H18" i="19"/>
  <c r="H15" i="19"/>
  <c r="H19" i="19"/>
  <c r="H10" i="19"/>
  <c r="H17" i="19"/>
  <c r="H13" i="19"/>
  <c r="H9" i="19"/>
  <c r="I5" i="19"/>
  <c r="H6" i="19"/>
  <c r="H12" i="19"/>
  <c r="H4" i="19"/>
  <c r="H11" i="19"/>
  <c r="I27" i="19" l="1"/>
  <c r="I25" i="19"/>
  <c r="I29" i="19"/>
  <c r="I24" i="19"/>
  <c r="I28" i="19"/>
  <c r="I22" i="19"/>
  <c r="I21" i="19"/>
  <c r="I23" i="19"/>
  <c r="I19" i="19"/>
  <c r="I18" i="19"/>
  <c r="I15" i="19"/>
  <c r="I16" i="19"/>
  <c r="I13" i="19"/>
  <c r="I9" i="19"/>
  <c r="J5" i="19"/>
  <c r="I12" i="19"/>
  <c r="I6" i="19"/>
  <c r="I17" i="19"/>
  <c r="I11" i="19"/>
  <c r="I10" i="19"/>
  <c r="J25" i="19" l="1"/>
  <c r="J29" i="19"/>
  <c r="J24" i="19"/>
  <c r="J28" i="19"/>
  <c r="J23" i="19"/>
  <c r="J18" i="19"/>
  <c r="J27" i="19"/>
  <c r="J22" i="19"/>
  <c r="J19" i="19"/>
  <c r="J17" i="19"/>
  <c r="J12" i="19"/>
  <c r="J6" i="19"/>
  <c r="J15" i="19"/>
  <c r="J11" i="19"/>
  <c r="J16" i="19"/>
  <c r="J13" i="19"/>
  <c r="J21" i="19"/>
  <c r="J10" i="19"/>
  <c r="K5" i="19"/>
  <c r="J9" i="19"/>
  <c r="K29" i="19" l="1"/>
  <c r="K24" i="19"/>
  <c r="K28" i="19"/>
  <c r="K23" i="19"/>
  <c r="K27" i="19"/>
  <c r="K25" i="19"/>
  <c r="K22" i="19"/>
  <c r="K19" i="19"/>
  <c r="K17" i="19"/>
  <c r="K16" i="19"/>
  <c r="K15" i="19"/>
  <c r="K11" i="19"/>
  <c r="K21" i="19"/>
  <c r="K18" i="19"/>
  <c r="K10" i="19"/>
  <c r="K9" i="19"/>
  <c r="K13" i="19"/>
  <c r="L5" i="19"/>
  <c r="K6" i="19"/>
  <c r="K12" i="19"/>
  <c r="L28" i="19" l="1"/>
  <c r="L23" i="19"/>
  <c r="L27" i="19"/>
  <c r="L25" i="19"/>
  <c r="L29" i="19"/>
  <c r="L24" i="19"/>
  <c r="L22" i="19"/>
  <c r="L21" i="19"/>
  <c r="L16" i="19"/>
  <c r="L15" i="19"/>
  <c r="L18" i="19"/>
  <c r="L10" i="19"/>
  <c r="L6" i="19"/>
  <c r="L17" i="19"/>
  <c r="L13" i="19"/>
  <c r="L9" i="19"/>
  <c r="M5" i="19"/>
  <c r="L12" i="19"/>
  <c r="L19" i="19"/>
  <c r="L11" i="19"/>
  <c r="M27" i="19" l="1"/>
  <c r="M25" i="19"/>
  <c r="M29" i="19"/>
  <c r="M24" i="19"/>
  <c r="M23" i="19"/>
  <c r="M22" i="19"/>
  <c r="M21" i="19"/>
  <c r="M19" i="19"/>
  <c r="M15" i="19"/>
  <c r="M18" i="19"/>
  <c r="M17" i="19"/>
  <c r="M13" i="19"/>
  <c r="M9" i="19"/>
  <c r="N5" i="19"/>
  <c r="M12" i="19"/>
  <c r="M6" i="19"/>
  <c r="M16" i="19"/>
  <c r="M11" i="19"/>
  <c r="M28" i="19"/>
  <c r="M10" i="19"/>
  <c r="N25" i="19" l="1"/>
  <c r="N29" i="19"/>
  <c r="N24" i="19"/>
  <c r="N28" i="19"/>
  <c r="N27" i="19"/>
  <c r="N18" i="19"/>
  <c r="N22" i="19"/>
  <c r="N21" i="19"/>
  <c r="N17" i="19"/>
  <c r="N12" i="19"/>
  <c r="N6" i="19"/>
  <c r="N23" i="19"/>
  <c r="N16" i="19"/>
  <c r="N11" i="19"/>
  <c r="N19" i="19"/>
  <c r="N10" i="19"/>
  <c r="N15" i="19"/>
  <c r="N13" i="19"/>
  <c r="N9" i="19"/>
  <c r="O5" i="19"/>
  <c r="O29" i="19" l="1"/>
  <c r="O24" i="19"/>
  <c r="O28" i="19"/>
  <c r="O23" i="19"/>
  <c r="O27" i="19"/>
  <c r="O25" i="19"/>
  <c r="O22" i="19"/>
  <c r="O21" i="19"/>
  <c r="O18" i="19"/>
  <c r="O17" i="19"/>
  <c r="O19" i="19"/>
  <c r="O16" i="19"/>
  <c r="O11" i="19"/>
  <c r="O9" i="19"/>
  <c r="O10" i="19"/>
  <c r="O4" i="19"/>
  <c r="P5" i="19"/>
  <c r="O15" i="19"/>
  <c r="O13" i="19"/>
  <c r="O6" i="19"/>
  <c r="O12" i="19"/>
  <c r="P28" i="19" l="1"/>
  <c r="P23" i="19"/>
  <c r="P27" i="19"/>
  <c r="P25" i="19"/>
  <c r="P22" i="19"/>
  <c r="P21" i="19"/>
  <c r="P24" i="19"/>
  <c r="P19" i="19"/>
  <c r="P16" i="19"/>
  <c r="P15" i="19"/>
  <c r="P29" i="19"/>
  <c r="P10" i="19"/>
  <c r="P13" i="19"/>
  <c r="P9" i="19"/>
  <c r="Q5" i="19"/>
  <c r="P6" i="19"/>
  <c r="P12" i="19"/>
  <c r="P18" i="19"/>
  <c r="P17" i="19"/>
  <c r="P11" i="19"/>
  <c r="Q27" i="19" l="1"/>
  <c r="Q25" i="19"/>
  <c r="Q29" i="19"/>
  <c r="Q24" i="19"/>
  <c r="Q22" i="19"/>
  <c r="Q21" i="19"/>
  <c r="Q28" i="19"/>
  <c r="Q23" i="19"/>
  <c r="Q19" i="19"/>
  <c r="Q15" i="19"/>
  <c r="Q16" i="19"/>
  <c r="Q13" i="19"/>
  <c r="Q9" i="19"/>
  <c r="R5" i="19"/>
  <c r="Q12" i="19"/>
  <c r="Q6" i="19"/>
  <c r="Q18" i="19"/>
  <c r="Q17" i="19"/>
  <c r="Q11" i="19"/>
  <c r="Q10" i="19"/>
  <c r="R25" i="19" l="1"/>
  <c r="R29" i="19"/>
  <c r="R24" i="19"/>
  <c r="R28" i="19"/>
  <c r="R27" i="19"/>
  <c r="R23" i="19"/>
  <c r="R18" i="19"/>
  <c r="R17" i="19"/>
  <c r="R22" i="19"/>
  <c r="R21" i="19"/>
  <c r="R12" i="19"/>
  <c r="R6" i="19"/>
  <c r="R16" i="19"/>
  <c r="R13" i="19"/>
  <c r="R19" i="19"/>
  <c r="R15" i="19"/>
  <c r="R11" i="19"/>
  <c r="R10" i="19"/>
  <c r="R9" i="19"/>
  <c r="S5" i="19"/>
  <c r="S29" i="19" l="1"/>
  <c r="S24" i="19"/>
  <c r="S28" i="19"/>
  <c r="S23" i="19"/>
  <c r="S27" i="19"/>
  <c r="S25" i="19"/>
  <c r="S22" i="19"/>
  <c r="S17" i="19"/>
  <c r="S18" i="19"/>
  <c r="S16" i="19"/>
  <c r="S19" i="19"/>
  <c r="S15" i="19"/>
  <c r="S11" i="19"/>
  <c r="T5" i="19"/>
  <c r="S10" i="19"/>
  <c r="S21" i="19"/>
  <c r="S13" i="19"/>
  <c r="S9" i="19"/>
  <c r="S12" i="19"/>
  <c r="S6" i="19"/>
  <c r="T28" i="19" l="1"/>
  <c r="T23" i="19"/>
  <c r="T27" i="19"/>
  <c r="T25" i="19"/>
  <c r="T22" i="19"/>
  <c r="T29" i="19"/>
  <c r="T24" i="19"/>
  <c r="T21" i="19"/>
  <c r="T18" i="19"/>
  <c r="T16" i="19"/>
  <c r="T19" i="19"/>
  <c r="T15" i="19"/>
  <c r="T10" i="19"/>
  <c r="T17" i="19"/>
  <c r="T13" i="19"/>
  <c r="T9" i="19"/>
  <c r="U5" i="19"/>
  <c r="T6" i="19"/>
  <c r="T12" i="19"/>
  <c r="T11" i="19"/>
  <c r="U27" i="19" l="1"/>
  <c r="U25" i="19"/>
  <c r="U29" i="19"/>
  <c r="U24" i="19"/>
  <c r="U23" i="19"/>
  <c r="U22" i="19"/>
  <c r="U28" i="19"/>
  <c r="U21" i="19"/>
  <c r="U19" i="19"/>
  <c r="U15" i="19"/>
  <c r="U17" i="19"/>
  <c r="U13" i="19"/>
  <c r="U9" i="19"/>
  <c r="V5" i="19"/>
  <c r="U18" i="19"/>
  <c r="U12" i="19"/>
  <c r="U6" i="19"/>
  <c r="U16" i="19"/>
  <c r="U11" i="19"/>
  <c r="U10" i="19"/>
  <c r="V25" i="19" l="1"/>
  <c r="V29" i="19"/>
  <c r="V24" i="19"/>
  <c r="V28" i="19"/>
  <c r="V27" i="19"/>
  <c r="V18" i="19"/>
  <c r="V19" i="19"/>
  <c r="V21" i="19"/>
  <c r="V17" i="19"/>
  <c r="V23" i="19"/>
  <c r="V12" i="19"/>
  <c r="V6" i="19"/>
  <c r="V4" i="19"/>
  <c r="V15" i="19"/>
  <c r="V16" i="19"/>
  <c r="V11" i="19"/>
  <c r="V22" i="19"/>
  <c r="V13" i="19"/>
  <c r="V10" i="19"/>
  <c r="V9" i="19"/>
  <c r="W5" i="19"/>
  <c r="W29" i="19" l="1"/>
  <c r="W24" i="19"/>
  <c r="W28" i="19"/>
  <c r="W23" i="19"/>
  <c r="W27" i="19"/>
  <c r="W22" i="19"/>
  <c r="W25" i="19"/>
  <c r="W21" i="19"/>
  <c r="W17" i="19"/>
  <c r="W16" i="19"/>
  <c r="W18" i="19"/>
  <c r="W11" i="19"/>
  <c r="W19" i="19"/>
  <c r="W10" i="19"/>
  <c r="W9" i="19"/>
  <c r="X5" i="19"/>
  <c r="W15" i="19"/>
  <c r="W13" i="19"/>
  <c r="W6" i="19"/>
  <c r="W12" i="19"/>
  <c r="X28" i="19" l="1"/>
  <c r="X23" i="19"/>
  <c r="X27" i="19"/>
  <c r="X25" i="19"/>
  <c r="X29" i="19"/>
  <c r="X24" i="19"/>
  <c r="X22" i="19"/>
  <c r="X21" i="19"/>
  <c r="X16" i="19"/>
  <c r="X18" i="19"/>
  <c r="X15" i="19"/>
  <c r="X10" i="19"/>
  <c r="X6" i="19"/>
  <c r="X13" i="19"/>
  <c r="X9" i="19"/>
  <c r="Y5" i="19"/>
  <c r="X17" i="19"/>
  <c r="X19" i="19"/>
  <c r="X12" i="19"/>
  <c r="X11" i="19"/>
  <c r="Y27" i="19" l="1"/>
  <c r="Y25" i="19"/>
  <c r="Y29" i="19"/>
  <c r="Y24" i="19"/>
  <c r="Y28" i="19"/>
  <c r="Y22" i="19"/>
  <c r="Y21" i="19"/>
  <c r="Y23" i="19"/>
  <c r="Y19" i="19"/>
  <c r="Y18" i="19"/>
  <c r="Y15" i="19"/>
  <c r="Y16" i="19"/>
  <c r="Y13" i="19"/>
  <c r="Y9" i="19"/>
  <c r="Z5" i="19"/>
  <c r="Y12" i="19"/>
  <c r="Y6" i="19"/>
  <c r="Y17" i="19"/>
  <c r="Y11" i="19"/>
  <c r="Y10" i="19"/>
  <c r="Z25" i="19" l="1"/>
  <c r="Z29" i="19"/>
  <c r="Z24" i="19"/>
  <c r="Z28" i="19"/>
  <c r="Z23" i="19"/>
  <c r="Z18" i="19"/>
  <c r="Z22" i="19"/>
  <c r="Z19" i="19"/>
  <c r="Z17" i="19"/>
  <c r="Z12" i="19"/>
  <c r="Z6" i="19"/>
  <c r="Z15" i="19"/>
  <c r="Z11" i="19"/>
  <c r="Z27" i="19"/>
  <c r="Z21" i="19"/>
  <c r="Z10" i="19"/>
  <c r="Z16" i="19"/>
  <c r="Z13" i="19"/>
  <c r="AA5" i="19"/>
  <c r="Z9" i="19"/>
  <c r="AA29" i="19" l="1"/>
  <c r="AA24" i="19"/>
  <c r="AA28" i="19"/>
  <c r="AA23" i="19"/>
  <c r="AA27" i="19"/>
  <c r="AA25" i="19"/>
  <c r="AA22" i="19"/>
  <c r="AA19" i="19"/>
  <c r="AA17" i="19"/>
  <c r="AA16" i="19"/>
  <c r="AA15" i="19"/>
  <c r="AA11" i="19"/>
  <c r="AA9" i="19"/>
  <c r="AB5" i="19"/>
  <c r="AA21" i="19"/>
  <c r="AA10" i="19"/>
  <c r="AA18" i="19"/>
  <c r="AA13" i="19"/>
  <c r="AA12" i="19"/>
  <c r="AA6" i="19"/>
  <c r="AB28" i="19" l="1"/>
  <c r="AB23" i="19"/>
  <c r="AB27" i="19"/>
  <c r="AB25" i="19"/>
  <c r="AB29" i="19"/>
  <c r="AB24" i="19"/>
  <c r="AB22" i="19"/>
  <c r="AB21" i="19"/>
  <c r="AB16" i="19"/>
  <c r="AB15" i="19"/>
  <c r="AB10" i="19"/>
  <c r="AB19" i="19"/>
  <c r="AB17" i="19"/>
  <c r="AB13" i="19"/>
  <c r="AB9" i="19"/>
  <c r="AC5" i="19"/>
  <c r="AB6" i="19"/>
  <c r="AB18" i="19"/>
  <c r="AB12" i="19"/>
  <c r="AB11" i="19"/>
  <c r="AC27" i="19" l="1"/>
  <c r="AC25" i="19"/>
  <c r="AC29" i="19"/>
  <c r="AC24" i="19"/>
  <c r="AC23" i="19"/>
  <c r="AC22" i="19"/>
  <c r="AC21" i="19"/>
  <c r="AC19" i="19"/>
  <c r="AC15" i="19"/>
  <c r="AC18" i="19"/>
  <c r="AC13" i="19"/>
  <c r="AC17" i="19"/>
  <c r="AC9" i="19"/>
  <c r="AD5" i="19"/>
  <c r="AC12" i="19"/>
  <c r="AC6" i="19"/>
  <c r="AC28" i="19"/>
  <c r="AC16" i="19"/>
  <c r="AC11" i="19"/>
  <c r="AC4" i="19"/>
  <c r="AC10" i="19"/>
  <c r="AD25" i="19" l="1"/>
  <c r="AD29" i="19"/>
  <c r="AD24" i="19"/>
  <c r="AD28" i="19"/>
  <c r="AD27" i="19"/>
  <c r="AD18" i="19"/>
  <c r="AD22" i="19"/>
  <c r="AD23" i="19"/>
  <c r="AD21" i="19"/>
  <c r="AD17" i="19"/>
  <c r="AD19" i="19"/>
  <c r="AD13" i="19"/>
  <c r="AD12" i="19"/>
  <c r="AD6" i="19"/>
  <c r="AD16" i="19"/>
  <c r="AD11" i="19"/>
  <c r="AD15" i="19"/>
  <c r="AD10" i="19"/>
  <c r="AD9" i="19"/>
  <c r="AE5" i="19"/>
  <c r="AE29" i="19" l="1"/>
  <c r="AE24" i="19"/>
  <c r="AE28" i="19"/>
  <c r="AE23" i="19"/>
  <c r="AE27" i="19"/>
  <c r="AE25" i="19"/>
  <c r="AE22" i="19"/>
  <c r="AE21" i="19"/>
  <c r="AE18" i="19"/>
  <c r="AE17" i="19"/>
  <c r="AE19" i="19"/>
  <c r="AE16" i="19"/>
  <c r="AE11" i="19"/>
  <c r="AE13" i="19"/>
  <c r="AE10" i="19"/>
  <c r="AE15" i="19"/>
  <c r="AE9" i="19"/>
  <c r="AF5" i="19"/>
  <c r="AE12" i="19"/>
  <c r="AE6" i="19"/>
  <c r="AF28" i="19" l="1"/>
  <c r="AF23" i="19"/>
  <c r="AF27" i="19"/>
  <c r="AF25" i="19"/>
  <c r="AF22" i="19"/>
  <c r="AF21" i="19"/>
  <c r="AF19" i="19"/>
  <c r="AF16" i="19"/>
  <c r="AF29" i="19"/>
  <c r="AF15" i="19"/>
  <c r="AF24" i="19"/>
  <c r="AF10" i="19"/>
  <c r="AF17" i="19"/>
  <c r="AF18" i="19"/>
  <c r="AF9" i="19"/>
  <c r="AG5" i="19"/>
  <c r="AF13" i="19"/>
  <c r="AF12" i="19"/>
  <c r="AF6" i="19"/>
  <c r="AF11" i="19"/>
  <c r="AG27" i="19" l="1"/>
  <c r="AG25" i="19"/>
  <c r="AG29" i="19"/>
  <c r="AG24" i="19"/>
  <c r="AG22" i="19"/>
  <c r="AG21" i="19"/>
  <c r="AG28" i="19"/>
  <c r="AG23" i="19"/>
  <c r="AG19" i="19"/>
  <c r="AG15" i="19"/>
  <c r="AG13" i="19"/>
  <c r="AG18" i="19"/>
  <c r="AG16" i="19"/>
  <c r="AG9" i="19"/>
  <c r="AH5" i="19"/>
  <c r="AG12" i="19"/>
  <c r="AG6" i="19"/>
  <c r="AG17" i="19"/>
  <c r="AG11" i="19"/>
  <c r="AG10" i="19"/>
  <c r="AH25" i="19" l="1"/>
  <c r="AH29" i="19"/>
  <c r="AH24" i="19"/>
  <c r="AH28" i="19"/>
  <c r="AH27" i="19"/>
  <c r="AH23" i="19"/>
  <c r="AH18" i="19"/>
  <c r="AH13" i="19"/>
  <c r="AH17" i="19"/>
  <c r="AH21" i="19"/>
  <c r="AH12" i="19"/>
  <c r="AH6" i="19"/>
  <c r="AH10" i="19"/>
  <c r="AH16" i="19"/>
  <c r="AH15" i="19"/>
  <c r="AH11" i="19"/>
  <c r="AH19" i="19"/>
  <c r="AH22" i="19"/>
  <c r="AI5" i="19"/>
  <c r="AH9" i="19"/>
  <c r="AI29" i="19" l="1"/>
  <c r="AI24" i="19"/>
  <c r="AI28" i="19"/>
  <c r="AI23" i="19"/>
  <c r="AI27" i="19"/>
  <c r="AI25" i="19"/>
  <c r="AI22" i="19"/>
  <c r="AI17" i="19"/>
  <c r="AI18" i="19"/>
  <c r="AI16" i="19"/>
  <c r="AI15" i="19"/>
  <c r="AI11" i="19"/>
  <c r="AI21" i="19"/>
  <c r="AI13" i="19"/>
  <c r="AI10" i="19"/>
  <c r="AI9" i="19"/>
  <c r="AJ5" i="19"/>
  <c r="AI19" i="19"/>
  <c r="AI12" i="19"/>
  <c r="AI6" i="19"/>
  <c r="AJ28" i="19" l="1"/>
  <c r="AJ23" i="19"/>
  <c r="AJ27" i="19"/>
  <c r="AJ25" i="19"/>
  <c r="AJ22" i="19"/>
  <c r="AJ29" i="19"/>
  <c r="AJ24" i="19"/>
  <c r="AJ21" i="19"/>
  <c r="AJ18" i="19"/>
  <c r="AJ16" i="19"/>
  <c r="AJ19" i="19"/>
  <c r="AJ15" i="19"/>
  <c r="AJ13" i="19"/>
  <c r="AJ10" i="19"/>
  <c r="AJ6" i="19"/>
  <c r="AJ17" i="19"/>
  <c r="AJ9" i="19"/>
  <c r="AK5" i="19"/>
  <c r="AJ4" i="19"/>
  <c r="AJ12" i="19"/>
  <c r="AJ11" i="19"/>
  <c r="AK27" i="19" l="1"/>
  <c r="AK25" i="19"/>
  <c r="AK29" i="19"/>
  <c r="AK24" i="19"/>
  <c r="AK23" i="19"/>
  <c r="AK22" i="19"/>
  <c r="AK28" i="19"/>
  <c r="AK21" i="19"/>
  <c r="AK19" i="19"/>
  <c r="AK15" i="19"/>
  <c r="AK13" i="19"/>
  <c r="AK17" i="19"/>
  <c r="AK9" i="19"/>
  <c r="AL5" i="19"/>
  <c r="AK18" i="19"/>
  <c r="AK12" i="19"/>
  <c r="AK6" i="19"/>
  <c r="AK16" i="19"/>
  <c r="AK11" i="19"/>
  <c r="AK10" i="19"/>
  <c r="AL25" i="19" l="1"/>
  <c r="AL29" i="19"/>
  <c r="AL24" i="19"/>
  <c r="AL28" i="19"/>
  <c r="AL27" i="19"/>
  <c r="AL18" i="19"/>
  <c r="AL23" i="19"/>
  <c r="AL19" i="19"/>
  <c r="AL13" i="19"/>
  <c r="AL21" i="19"/>
  <c r="AL17" i="19"/>
  <c r="AL12" i="19"/>
  <c r="AL6" i="19"/>
  <c r="AL22" i="19"/>
  <c r="AL16" i="19"/>
  <c r="AL11" i="19"/>
  <c r="AL10" i="19"/>
  <c r="AL15" i="19"/>
  <c r="AL9" i="19"/>
  <c r="AM5" i="19"/>
  <c r="AM29" i="19" l="1"/>
  <c r="AM24" i="19"/>
  <c r="AM28" i="19"/>
  <c r="AM23" i="19"/>
  <c r="AM27" i="19"/>
  <c r="AM22" i="19"/>
  <c r="AM17" i="19"/>
  <c r="AM21" i="19"/>
  <c r="AM16" i="19"/>
  <c r="AM11" i="19"/>
  <c r="AM9" i="19"/>
  <c r="AN5" i="19"/>
  <c r="AM25" i="19"/>
  <c r="AM19" i="19"/>
  <c r="AM10" i="19"/>
  <c r="AM13" i="19"/>
  <c r="AM18" i="19"/>
  <c r="AM15" i="19"/>
  <c r="AM12" i="19"/>
  <c r="AM6" i="19"/>
  <c r="AN28" i="19" l="1"/>
  <c r="AN23" i="19"/>
  <c r="AN27" i="19"/>
  <c r="AN25" i="19"/>
  <c r="AN29" i="19"/>
  <c r="AN24" i="19"/>
  <c r="AN22" i="19"/>
  <c r="AN21" i="19"/>
  <c r="AN17" i="19"/>
  <c r="AN16" i="19"/>
  <c r="AN18" i="19"/>
  <c r="AN15" i="19"/>
  <c r="AN19" i="19"/>
  <c r="AN10" i="19"/>
  <c r="AN9" i="19"/>
  <c r="AO5" i="19"/>
  <c r="AN6" i="19"/>
  <c r="AN13" i="19"/>
  <c r="AN12" i="19"/>
  <c r="AN11" i="19"/>
  <c r="AO27" i="19" l="1"/>
  <c r="AO25" i="19"/>
  <c r="AO29" i="19"/>
  <c r="AO24" i="19"/>
  <c r="AO28" i="19"/>
  <c r="AO22" i="19"/>
  <c r="AO21" i="19"/>
  <c r="AO23" i="19"/>
  <c r="AO19" i="19"/>
  <c r="AO18" i="19"/>
  <c r="AO15" i="19"/>
  <c r="AO13" i="19"/>
  <c r="AO16" i="19"/>
  <c r="AO9" i="19"/>
  <c r="AP5" i="19"/>
  <c r="AO12" i="19"/>
  <c r="AO6" i="19"/>
  <c r="AO11" i="19"/>
  <c r="AO17" i="19"/>
  <c r="AO10" i="19"/>
  <c r="AP25" i="19" l="1"/>
  <c r="AP29" i="19"/>
  <c r="AP24" i="19"/>
  <c r="AP28" i="19"/>
  <c r="AP23" i="19"/>
  <c r="AP18" i="19"/>
  <c r="AP13" i="19"/>
  <c r="AP22" i="19"/>
  <c r="AP19" i="19"/>
  <c r="AP12" i="19"/>
  <c r="AP6" i="19"/>
  <c r="AP27" i="19"/>
  <c r="AP15" i="19"/>
  <c r="AP11" i="19"/>
  <c r="AP10" i="19"/>
  <c r="AP16" i="19"/>
  <c r="AP21" i="19"/>
  <c r="AP17" i="19"/>
  <c r="AQ5" i="19"/>
  <c r="AP9" i="19"/>
  <c r="AQ29" i="19" l="1"/>
  <c r="AQ24" i="19"/>
  <c r="AQ28" i="19"/>
  <c r="AQ23" i="19"/>
  <c r="AQ27" i="19"/>
  <c r="AQ25" i="19"/>
  <c r="AQ22" i="19"/>
  <c r="AQ17" i="19"/>
  <c r="AQ19" i="19"/>
  <c r="AQ16" i="19"/>
  <c r="AQ15" i="19"/>
  <c r="AQ11" i="19"/>
  <c r="AQ21" i="19"/>
  <c r="AQ18" i="19"/>
  <c r="AQ13" i="19"/>
  <c r="AQ10" i="19"/>
  <c r="AQ4" i="19"/>
  <c r="AR5" i="19"/>
  <c r="AQ9" i="19"/>
  <c r="AQ6" i="19"/>
  <c r="AQ12" i="19"/>
  <c r="AR28" i="19" l="1"/>
  <c r="AR23" i="19"/>
  <c r="AR27" i="19"/>
  <c r="AR25" i="19"/>
  <c r="AR29" i="19"/>
  <c r="AR24" i="19"/>
  <c r="AR22" i="19"/>
  <c r="AR21" i="19"/>
  <c r="AR16" i="19"/>
  <c r="AR17" i="19"/>
  <c r="AR15" i="19"/>
  <c r="AR18" i="19"/>
  <c r="AR13" i="19"/>
  <c r="AR10" i="19"/>
  <c r="AR6" i="19"/>
  <c r="AR19" i="19"/>
  <c r="AR9" i="19"/>
  <c r="AS5" i="19"/>
  <c r="AR12" i="19"/>
  <c r="AR11" i="19"/>
  <c r="AS27" i="19" l="1"/>
  <c r="AS25" i="19"/>
  <c r="AS29" i="19"/>
  <c r="AS24" i="19"/>
  <c r="AS23" i="19"/>
  <c r="AS22" i="19"/>
  <c r="AS21" i="19"/>
  <c r="AS19" i="19"/>
  <c r="AS17" i="19"/>
  <c r="AS15" i="19"/>
  <c r="AS28" i="19"/>
  <c r="AS18" i="19"/>
  <c r="AS13" i="19"/>
  <c r="AS9" i="19"/>
  <c r="AT5" i="19"/>
  <c r="AS12" i="19"/>
  <c r="AS6" i="19"/>
  <c r="AS16" i="19"/>
  <c r="AS11" i="19"/>
  <c r="AS10" i="19"/>
  <c r="AT25" i="19" l="1"/>
  <c r="AT29" i="19"/>
  <c r="AT24" i="19"/>
  <c r="AT28" i="19"/>
  <c r="AT27" i="19"/>
  <c r="AT18" i="19"/>
  <c r="AT22" i="19"/>
  <c r="AT13" i="19"/>
  <c r="AT21" i="19"/>
  <c r="AT12" i="19"/>
  <c r="AT6" i="19"/>
  <c r="AT17" i="19"/>
  <c r="AT16" i="19"/>
  <c r="AT11" i="19"/>
  <c r="AT23" i="19"/>
  <c r="AT15" i="19"/>
  <c r="AT19" i="19"/>
  <c r="AT10" i="19"/>
  <c r="AT9" i="19"/>
  <c r="AU5" i="19"/>
  <c r="AU29" i="19" l="1"/>
  <c r="AU24" i="19"/>
  <c r="AU28" i="19"/>
  <c r="AU23" i="19"/>
  <c r="AU27" i="19"/>
  <c r="AU25" i="19"/>
  <c r="AU22" i="19"/>
  <c r="AU17" i="19"/>
  <c r="AU21" i="19"/>
  <c r="AU18" i="19"/>
  <c r="AU19" i="19"/>
  <c r="AU16" i="19"/>
  <c r="AU11" i="19"/>
  <c r="AV5" i="19"/>
  <c r="AU10" i="19"/>
  <c r="AU9" i="19"/>
  <c r="AU15" i="19"/>
  <c r="AU13" i="19"/>
  <c r="AU6" i="19"/>
  <c r="AU12" i="19"/>
  <c r="AV28" i="19" l="1"/>
  <c r="AV23" i="19"/>
  <c r="AV27" i="19"/>
  <c r="AV25" i="19"/>
  <c r="AV22" i="19"/>
  <c r="AV21" i="19"/>
  <c r="AV29" i="19"/>
  <c r="AV19" i="19"/>
  <c r="AV16" i="19"/>
  <c r="AV15" i="19"/>
  <c r="AV17" i="19"/>
  <c r="AV10" i="19"/>
  <c r="AV24" i="19"/>
  <c r="AV9" i="19"/>
  <c r="AW5" i="19"/>
  <c r="AV6" i="19"/>
  <c r="AV13" i="19"/>
  <c r="AV12" i="19"/>
  <c r="AV18" i="19"/>
  <c r="AV11" i="19"/>
  <c r="AW27" i="19" l="1"/>
  <c r="AW25" i="19"/>
  <c r="AW29" i="19"/>
  <c r="AW24" i="19"/>
  <c r="AW22" i="19"/>
  <c r="AW21" i="19"/>
  <c r="AW28" i="19"/>
  <c r="AW23" i="19"/>
  <c r="AW19" i="19"/>
  <c r="AW15" i="19"/>
  <c r="AW17" i="19"/>
  <c r="AW13" i="19"/>
  <c r="AW16" i="19"/>
  <c r="AW9" i="19"/>
  <c r="AX5" i="19"/>
  <c r="AW12" i="19"/>
  <c r="AW6" i="19"/>
  <c r="AW18" i="19"/>
  <c r="AW11" i="19"/>
  <c r="AW10" i="19"/>
  <c r="AX25" i="19" l="1"/>
  <c r="AX29" i="19"/>
  <c r="AX24" i="19"/>
  <c r="AX28" i="19"/>
  <c r="AX23" i="19"/>
  <c r="AX27" i="19"/>
  <c r="AX18" i="19"/>
  <c r="AX17" i="19"/>
  <c r="AX13" i="19"/>
  <c r="AX22" i="19"/>
  <c r="AX21" i="19"/>
  <c r="AX12" i="19"/>
  <c r="AX6" i="19"/>
  <c r="AX4" i="19"/>
  <c r="AX19" i="19"/>
  <c r="AX15" i="19"/>
  <c r="AX11" i="19"/>
  <c r="AX10" i="19"/>
  <c r="AX16" i="19"/>
  <c r="AX9" i="19"/>
  <c r="AY5" i="19"/>
  <c r="AY29" i="19" l="1"/>
  <c r="AY24" i="19"/>
  <c r="AY28" i="19"/>
  <c r="AY23" i="19"/>
  <c r="AY27" i="19"/>
  <c r="AY25" i="19"/>
  <c r="AY22" i="19"/>
  <c r="AY17" i="19"/>
  <c r="AY18" i="19"/>
  <c r="AY16" i="19"/>
  <c r="AY19" i="19"/>
  <c r="AY15" i="19"/>
  <c r="AY11" i="19"/>
  <c r="AY9" i="19"/>
  <c r="AY13" i="19"/>
  <c r="AY10" i="19"/>
  <c r="AZ5" i="19"/>
  <c r="AY21" i="19"/>
  <c r="AY12" i="19"/>
  <c r="AY6" i="19"/>
  <c r="AZ28" i="19" l="1"/>
  <c r="AZ23" i="19"/>
  <c r="AZ27" i="19"/>
  <c r="AZ25" i="19"/>
  <c r="AZ22" i="19"/>
  <c r="AZ29" i="19"/>
  <c r="AZ24" i="19"/>
  <c r="AZ21" i="19"/>
  <c r="AZ18" i="19"/>
  <c r="AZ16" i="19"/>
  <c r="AZ19" i="19"/>
  <c r="AZ15" i="19"/>
  <c r="AZ13" i="19"/>
  <c r="AZ10" i="19"/>
  <c r="AZ9" i="19"/>
  <c r="BA5" i="19"/>
  <c r="AZ6" i="19"/>
  <c r="AZ17" i="19"/>
  <c r="AZ12" i="19"/>
  <c r="AZ11" i="19"/>
  <c r="BA27" i="19" l="1"/>
  <c r="BA25" i="19"/>
  <c r="BA29" i="19"/>
  <c r="BA24" i="19"/>
  <c r="BA22" i="19"/>
  <c r="BA28" i="19"/>
  <c r="BA23" i="19"/>
  <c r="BA21" i="19"/>
  <c r="BA19" i="19"/>
  <c r="BA15" i="19"/>
  <c r="BA13" i="19"/>
  <c r="BA9" i="19"/>
  <c r="BB5" i="19"/>
  <c r="BA18" i="19"/>
  <c r="BA12" i="19"/>
  <c r="BA6" i="19"/>
  <c r="BA17" i="19"/>
  <c r="BA16" i="19"/>
  <c r="BA11" i="19"/>
  <c r="BA10" i="19"/>
  <c r="BB25" i="19" l="1"/>
  <c r="BB29" i="19"/>
  <c r="BB24" i="19"/>
  <c r="BB28" i="19"/>
  <c r="BB23" i="19"/>
  <c r="BB27" i="19"/>
  <c r="BB21" i="19"/>
  <c r="BB18" i="19"/>
  <c r="BB19" i="19"/>
  <c r="BB13" i="19"/>
  <c r="BB17" i="19"/>
  <c r="BB12" i="19"/>
  <c r="BB6" i="19"/>
  <c r="BB15" i="19"/>
  <c r="BB16" i="19"/>
  <c r="BB11" i="19"/>
  <c r="BB10" i="19"/>
  <c r="BB22" i="19"/>
  <c r="BB9" i="19"/>
  <c r="BC5" i="19"/>
  <c r="BC29" i="19" l="1"/>
  <c r="BC24" i="19"/>
  <c r="BC28" i="19"/>
  <c r="BC23" i="19"/>
  <c r="BC27" i="19"/>
  <c r="BC22" i="19"/>
  <c r="BC17" i="19"/>
  <c r="BC21" i="19"/>
  <c r="BC16" i="19"/>
  <c r="BC25" i="19"/>
  <c r="BC18" i="19"/>
  <c r="BC11" i="19"/>
  <c r="BC13" i="19"/>
  <c r="BC10" i="19"/>
  <c r="BC15" i="19"/>
  <c r="BC9" i="19"/>
  <c r="BD5" i="19"/>
  <c r="BC19" i="19"/>
  <c r="BC12" i="19"/>
  <c r="BC6" i="19"/>
  <c r="BD28" i="19" l="1"/>
  <c r="BD23" i="19"/>
  <c r="BD27" i="19"/>
  <c r="BD25" i="19"/>
  <c r="BD29" i="19"/>
  <c r="BD24" i="19"/>
  <c r="BD22" i="19"/>
  <c r="BD21" i="19"/>
  <c r="BD17" i="19"/>
  <c r="BD16" i="19"/>
  <c r="BD18" i="19"/>
  <c r="BD15" i="19"/>
  <c r="BD10" i="19"/>
  <c r="BD6" i="19"/>
  <c r="BD9" i="19"/>
  <c r="BE5" i="19"/>
  <c r="BD19" i="19"/>
  <c r="BD13" i="19"/>
  <c r="BD12" i="19"/>
  <c r="BD11" i="19"/>
  <c r="BE27" i="19" l="1"/>
  <c r="BE25" i="19"/>
  <c r="BE29" i="19"/>
  <c r="BE24" i="19"/>
  <c r="BE28" i="19"/>
  <c r="BE23" i="19"/>
  <c r="BE22" i="19"/>
  <c r="BE21" i="19"/>
  <c r="BE19" i="19"/>
  <c r="BE18" i="19"/>
  <c r="BE15" i="19"/>
  <c r="BE13" i="19"/>
  <c r="BE16" i="19"/>
  <c r="BE9" i="19"/>
  <c r="BF5" i="19"/>
  <c r="BE17" i="19"/>
  <c r="BE12" i="19"/>
  <c r="BE6" i="19"/>
  <c r="BE11" i="19"/>
  <c r="BE10" i="19"/>
  <c r="BE4" i="19"/>
  <c r="BF25" i="19" l="1"/>
  <c r="BF29" i="19"/>
  <c r="BF24" i="19"/>
  <c r="BF28" i="19"/>
  <c r="BF23" i="19"/>
  <c r="BF21" i="19"/>
  <c r="BF18" i="19"/>
  <c r="BF13" i="19"/>
  <c r="BF27" i="19"/>
  <c r="BF22" i="19"/>
  <c r="BF19" i="19"/>
  <c r="BF17" i="19"/>
  <c r="BF12" i="19"/>
  <c r="BF6" i="19"/>
  <c r="BF15" i="19"/>
  <c r="BF11" i="19"/>
  <c r="BF16" i="19"/>
  <c r="BF10" i="19"/>
  <c r="BG5" i="19"/>
  <c r="BF9" i="19"/>
  <c r="BG29" i="19" l="1"/>
  <c r="BG24" i="19"/>
  <c r="BG28" i="19"/>
  <c r="BG23" i="19"/>
  <c r="BG27" i="19"/>
  <c r="BG25" i="19"/>
  <c r="BG22" i="19"/>
  <c r="BG17" i="19"/>
  <c r="BG21" i="19"/>
  <c r="BG19" i="19"/>
  <c r="BG16" i="19"/>
  <c r="BG15" i="19"/>
  <c r="BG11" i="19"/>
  <c r="BH5" i="19"/>
  <c r="BG13" i="19"/>
  <c r="BG10" i="19"/>
  <c r="BG9" i="19"/>
  <c r="BG18" i="19"/>
  <c r="BG12" i="19"/>
  <c r="BG6" i="19"/>
  <c r="BH28" i="19" l="1"/>
  <c r="BH23" i="19"/>
  <c r="BH27" i="19"/>
  <c r="BH22" i="19"/>
  <c r="BH25" i="19"/>
  <c r="BH29" i="19"/>
  <c r="BH24" i="19"/>
  <c r="BH21" i="19"/>
  <c r="BH16" i="19"/>
  <c r="BH17" i="19"/>
  <c r="BH15" i="19"/>
  <c r="BH13" i="19"/>
  <c r="BH10" i="19"/>
  <c r="BH19" i="19"/>
  <c r="BH9" i="19"/>
  <c r="BI5" i="19"/>
  <c r="BH6" i="19"/>
  <c r="BH18" i="19"/>
  <c r="BH12" i="19"/>
  <c r="BH11" i="19"/>
  <c r="BI27" i="19" l="1"/>
  <c r="BI22" i="19"/>
  <c r="BI25" i="19"/>
  <c r="BI29" i="19"/>
  <c r="BI24" i="19"/>
  <c r="BI21" i="19"/>
  <c r="BI19" i="19"/>
  <c r="BI28" i="19"/>
  <c r="BI17" i="19"/>
  <c r="BI15" i="19"/>
  <c r="BI18" i="19"/>
  <c r="BI13" i="19"/>
  <c r="BI9" i="19"/>
  <c r="BJ5" i="19"/>
  <c r="BI12" i="19"/>
  <c r="BI6" i="19"/>
  <c r="BI23" i="19"/>
  <c r="BI16" i="19"/>
  <c r="BI11" i="19"/>
  <c r="BI10" i="19"/>
  <c r="BJ25" i="19" l="1"/>
  <c r="BJ29" i="19"/>
  <c r="BJ24" i="19"/>
  <c r="BJ28" i="19"/>
  <c r="BJ23" i="19"/>
  <c r="BJ21" i="19"/>
  <c r="BJ22" i="19"/>
  <c r="BJ27" i="19"/>
  <c r="BJ18" i="19"/>
  <c r="BJ13" i="19"/>
  <c r="BJ19" i="19"/>
  <c r="BJ12" i="19"/>
  <c r="BJ6" i="19"/>
  <c r="BJ17" i="19"/>
  <c r="BJ16" i="19"/>
  <c r="BJ11" i="19"/>
  <c r="BJ10" i="19"/>
  <c r="BJ15" i="19"/>
  <c r="BJ9" i="19"/>
  <c r="BK5" i="19"/>
  <c r="BK29" i="19" l="1"/>
  <c r="BK24" i="19"/>
  <c r="BK28" i="19"/>
  <c r="BK23" i="19"/>
  <c r="BK27" i="19"/>
  <c r="BK22" i="19"/>
  <c r="BK25" i="19"/>
  <c r="BK17" i="19"/>
  <c r="BK18" i="19"/>
  <c r="BK19" i="19"/>
  <c r="BK16" i="19"/>
  <c r="BK11" i="19"/>
  <c r="BK12" i="19"/>
  <c r="BK10" i="19"/>
  <c r="BK13" i="19"/>
  <c r="BK21" i="19"/>
  <c r="BK15" i="19"/>
  <c r="BK9" i="19"/>
  <c r="BK6" i="19"/>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G49" i="4"/>
  <c r="I43" i="4"/>
  <c r="H43" i="4"/>
  <c r="G43" i="4"/>
  <c r="I41" i="4"/>
  <c r="H41" i="4"/>
  <c r="G41" i="4"/>
  <c r="I37" i="4"/>
  <c r="K37" i="4" s="1"/>
  <c r="H37" i="4"/>
  <c r="G37" i="4"/>
  <c r="I35" i="4"/>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F2" i="2" a="1"/>
  <c r="AF1" i="2" a="1"/>
  <c r="D1" i="2" a="1"/>
  <c r="J51" i="4" l="1"/>
  <c r="J35" i="4"/>
  <c r="K35" i="4"/>
  <c r="L35" i="4" s="1"/>
  <c r="J43" i="4"/>
  <c r="J30" i="4"/>
  <c r="K43" i="4"/>
  <c r="L43" i="4" s="1"/>
  <c r="J49" i="4"/>
  <c r="K51" i="4"/>
  <c r="L51" i="4" s="1"/>
  <c r="G53" i="4"/>
  <c r="I53" i="4"/>
  <c r="K53" i="4" s="1"/>
  <c r="J37" i="4"/>
  <c r="K49" i="4"/>
  <c r="L37" i="4"/>
  <c r="K33" i="4"/>
  <c r="L33" i="4" s="1"/>
  <c r="J41" i="4"/>
  <c r="K41" i="4"/>
  <c r="L41" i="4"/>
  <c r="K30" i="4"/>
  <c r="L30" i="4" s="1"/>
  <c r="H53" i="4"/>
  <c r="J53" i="4" s="1"/>
  <c r="D1" i="2"/>
  <c r="AF2" i="2"/>
  <c r="AF1" i="2"/>
  <c r="L49" i="4" l="1"/>
  <c r="L53" i="4"/>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<sst xmlns="http://schemas.openxmlformats.org/spreadsheetml/2006/main" count="3293" uniqueCount="1670">
  <si>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</si>
  <si>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</si>
  <si>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</si>
  <si>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</si>
  <si>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</si>
  <si>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</si>
  <si>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</si>
  <si>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</si>
  <si>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</si>
  <si>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</si>
  <si>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</si>
  <si>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</si>
  <si>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</si>
  <si>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</si>
  <si>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</si>
  <si>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</si>
  <si>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</si>
  <si>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</si>
  <si>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</si>
  <si>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</si>
  <si>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</si>
  <si>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</si>
  <si>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</si>
  <si>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</si>
  <si>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</si>
  <si>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</si>
  <si>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</si>
  <si>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</si>
  <si>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</si>
  <si>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</si>
  <si>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</si>
  <si>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</si>
  <si>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</si>
  <si>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</si>
  <si>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</si>
  <si>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</si>
  <si>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</si>
  <si>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</si>
  <si>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</si>
  <si>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</si>
  <si>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</si>
  <si>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</si>
  <si>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</si>
  <si>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</si>
  <si>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</si>
  <si>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</si>
  <si>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</si>
  <si>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</si>
  <si>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</si>
  <si>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</si>
  <si>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</si>
  <si>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</si>
  <si>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</si>
  <si>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</si>
  <si>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</si>
  <si>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</si>
  <si>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</si>
  <si>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</si>
  <si>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</si>
  <si>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</si>
  <si>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</si>
  <si>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</si>
  <si>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</si>
  <si>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</si>
  <si>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</si>
  <si>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</si>
  <si>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</si>
  <si>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</si>
  <si>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</si>
  <si>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</si>
  <si>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</si>
  <si>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</si>
  <si>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</si>
  <si>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</si>
  <si>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</si>
  <si>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</si>
  <si>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</si>
  <si>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</si>
  <si>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</si>
  <si>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</si>
  <si>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</si>
  <si>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</si>
  <si>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</si>
  <si>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</si>
  <si>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</si>
  <si>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</si>
  <si>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</si>
  <si>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</si>
  <si>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</si>
  <si>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</si>
  <si>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</si>
  <si>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</si>
  <si>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</si>
  <si>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</si>
  <si>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</si>
  <si>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</si>
  <si>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</si>
  <si>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</si>
  <si>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</si>
  <si>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</si>
  <si>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</si>
  <si>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</si>
  <si>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</si>
  <si>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</si>
  <si>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</si>
  <si>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</si>
  <si>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</si>
  <si>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</si>
  <si>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</si>
  <si>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</si>
  <si>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</si>
  <si>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</si>
  <si>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</si>
  <si>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</si>
  <si>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</si>
  <si>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</si>
  <si>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</si>
  <si>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</si>
  <si>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</si>
  <si>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</si>
  <si>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</si>
  <si>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</si>
  <si>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</si>
  <si>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</si>
  <si>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</si>
  <si>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</si>
  <si>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</si>
  <si>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</si>
  <si>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</si>
  <si>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</si>
  <si>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</si>
  <si>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</si>
  <si>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</si>
  <si>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</si>
  <si>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</si>
  <si>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</si>
  <si>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</si>
  <si>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</si>
  <si>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</si>
  <si>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</si>
  <si>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</si>
  <si>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</si>
  <si>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</si>
  <si>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</si>
  <si>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</si>
  <si>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</si>
  <si>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</si>
  <si>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</si>
  <si>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</si>
  <si>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</si>
  <si>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</si>
  <si>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</si>
  <si>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</si>
  <si>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</si>
  <si>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</si>
  <si>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</si>
  <si>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</si>
  <si>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</si>
  <si>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</si>
  <si>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</si>
  <si>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</si>
  <si>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</si>
  <si>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</si>
  <si>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</si>
  <si>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</si>
  <si>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</si>
  <si>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</si>
  <si>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</si>
  <si>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</si>
  <si>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</si>
  <si>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</si>
  <si>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</si>
  <si>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</si>
  <si>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</si>
  <si>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</si>
  <si>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</si>
  <si>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</si>
  <si>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</si>
  <si>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</si>
  <si>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</si>
  <si>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</si>
  <si>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</si>
  <si>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</si>
  <si>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</si>
  <si>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</si>
  <si>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</si>
  <si>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</si>
  <si>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</si>
  <si>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</si>
  <si>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</si>
  <si>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</si>
  <si>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</si>
  <si>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</si>
  <si>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</si>
  <si>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</si>
  <si>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</si>
  <si>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</si>
  <si>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</si>
  <si>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</si>
  <si>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</si>
  <si>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</si>
  <si>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</si>
  <si>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</si>
  <si>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</si>
  <si>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</si>
  <si>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</si>
  <si>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</si>
  <si>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</si>
  <si>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</si>
  <si>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</si>
  <si>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</si>
  <si>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</si>
  <si>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</si>
  <si>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</si>
  <si>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</si>
  <si>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</si>
  <si>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</si>
  <si>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</si>
  <si>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</si>
  <si>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</si>
  <si>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</si>
  <si>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</si>
  <si>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</si>
  <si>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</si>
  <si>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</si>
  <si>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</si>
  <si>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</si>
  <si>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</si>
  <si>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</si>
  <si>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</si>
  <si>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</si>
  <si>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</si>
  <si>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</si>
  <si>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</si>
  <si>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</si>
  <si>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</si>
  <si>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</si>
  <si>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</si>
  <si>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</si>
  <si>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</si>
  <si>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</si>
  <si>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</si>
  <si>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</si>
  <si>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</si>
  <si>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</si>
  <si>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</si>
  <si>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</si>
  <si>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</si>
  <si>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</si>
  <si>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</si>
  <si>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</si>
  <si>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</si>
  <si>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</si>
  <si>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</si>
  <si>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</si>
  <si>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</si>
  <si>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</si>
  <si>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</si>
  <si>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</si>
  <si>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</si>
  <si>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</si>
  <si>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</si>
  <si>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</si>
  <si>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</si>
  <si>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</si>
  <si>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</si>
  <si>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</si>
  <si>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</si>
  <si>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</si>
  <si>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</si>
  <si>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</si>
  <si>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</si>
  <si>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</si>
  <si>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</si>
  <si>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</si>
  <si>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</si>
  <si>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</si>
  <si>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</si>
  <si>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</si>
  <si>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</si>
  <si>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</si>
  <si>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</si>
  <si>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</si>
  <si>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</si>
  <si>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</si>
  <si>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</si>
  <si>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</si>
  <si>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</si>
  <si>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</si>
  <si>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</si>
  <si>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</si>
  <si>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</si>
  <si>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</si>
  <si>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</si>
  <si>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</si>
  <si>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</si>
  <si>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</si>
  <si>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</si>
  <si>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</si>
  <si>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</si>
  <si>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</si>
  <si>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</si>
  <si>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</si>
  <si>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</si>
  <si>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</si>
  <si>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</si>
  <si>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</si>
  <si>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</si>
  <si>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</si>
  <si>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</si>
  <si>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</si>
  <si>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</si>
  <si>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</si>
  <si>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</si>
  <si>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</si>
  <si>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</si>
  <si>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</si>
  <si>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</si>
  <si>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</si>
  <si>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</si>
  <si>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</si>
  <si>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</si>
  <si>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</si>
  <si>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</si>
  <si>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</si>
  <si>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</si>
  <si>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</si>
  <si>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</si>
  <si>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</si>
  <si>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</si>
  <si>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</si>
  <si>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</si>
  <si>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</si>
  <si>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</si>
  <si>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</si>
  <si>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</si>
  <si>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</si>
  <si>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</si>
  <si>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</si>
  <si>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</si>
  <si>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</si>
  <si>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</si>
  <si>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</si>
  <si>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</si>
  <si>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</si>
  <si>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</si>
  <si>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</si>
  <si>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</si>
  <si>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</si>
  <si>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</si>
  <si>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</si>
  <si>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</si>
  <si>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</si>
  <si>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</si>
  <si>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</si>
  <si>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</si>
  <si>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</si>
  <si>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</si>
  <si>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</si>
  <si>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</si>
  <si>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</si>
  <si>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</si>
  <si>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</si>
  <si>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</si>
  <si>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</si>
  <si>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</si>
  <si>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</si>
  <si>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</si>
  <si>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</si>
  <si>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</si>
  <si>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</si>
  <si>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</si>
  <si>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</si>
  <si>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</si>
  <si>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</si>
  <si>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</si>
  <si>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</si>
  <si>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</si>
  <si>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</si>
  <si>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</si>
  <si>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</si>
  <si>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</si>
  <si>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</si>
  <si>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</si>
  <si>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</si>
  <si>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</si>
  <si>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</si>
  <si>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</si>
  <si>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</si>
  <si>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</si>
  <si>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</si>
  <si>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</si>
  <si>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</si>
  <si>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</si>
  <si>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</si>
  <si>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</si>
  <si>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</si>
  <si>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</si>
  <si>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</si>
  <si>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</si>
  <si>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</si>
  <si>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</si>
  <si>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</si>
  <si>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</si>
  <si>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</si>
  <si>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</si>
  <si>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</si>
  <si>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</si>
  <si>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</si>
  <si>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</si>
  <si>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</si>
  <si>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</si>
  <si>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</si>
  <si>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</si>
  <si>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</si>
  <si>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</si>
  <si>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</si>
  <si>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</si>
  <si>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</si>
  <si>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</si>
  <si>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</si>
  <si>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</si>
  <si>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</si>
  <si>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</si>
  <si>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</si>
  <si>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</si>
  <si>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</si>
  <si>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</si>
  <si>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</si>
  <si>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</si>
  <si>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</si>
  <si>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</si>
  <si>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</si>
  <si>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</si>
  <si>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</si>
  <si>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</si>
  <si>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</si>
  <si>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</si>
  <si>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</si>
  <si>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</si>
  <si>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</si>
  <si>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</si>
  <si>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</si>
  <si>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</si>
  <si>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</si>
  <si>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</si>
  <si>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</si>
  <si>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</si>
  <si>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</si>
  <si>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</si>
  <si>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</si>
  <si>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</si>
  <si>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</si>
  <si>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</si>
  <si>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</si>
  <si>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</si>
  <si>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</si>
  <si>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</si>
  <si>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</si>
  <si>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</si>
  <si>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</si>
  <si>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</si>
  <si>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</si>
  <si>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</si>
  <si>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</si>
  <si>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</si>
  <si>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</si>
  <si>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</si>
  <si>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</si>
  <si>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</si>
  <si>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</si>
  <si>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</si>
  <si>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</si>
  <si>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</si>
  <si>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</si>
  <si>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</si>
  <si>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</si>
  <si>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</si>
  <si>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</si>
  <si>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</si>
  <si>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</si>
  <si>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</si>
  <si>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</si>
  <si>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</si>
  <si>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</si>
  <si>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</si>
  <si>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</si>
  <si>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</si>
  <si>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</si>
  <si>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</si>
  <si>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</si>
  <si>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</si>
  <si>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</si>
  <si>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</si>
  <si>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</si>
  <si>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</si>
  <si>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</si>
  <si>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</si>
  <si>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</si>
  <si>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</si>
  <si>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</si>
  <si>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</si>
  <si>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</si>
  <si>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</si>
  <si>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</si>
  <si>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</si>
  <si>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</si>
  <si>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</si>
  <si>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</si>
  <si>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</si>
  <si>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</si>
  <si>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</si>
  <si>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</si>
  <si>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</si>
  <si>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</si>
  <si>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</si>
  <si>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</si>
  <si>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</si>
  <si>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</si>
  <si>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</si>
  <si>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</si>
  <si>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</si>
  <si>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</si>
  <si>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</si>
  <si>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</si>
  <si>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</si>
  <si>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</si>
  <si>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</si>
  <si>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</si>
  <si>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</si>
  <si>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</si>
  <si>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</si>
  <si>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</si>
  <si>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</si>
  <si>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</si>
  <si>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</si>
  <si>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</si>
  <si>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</si>
  <si>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</si>
  <si>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</si>
  <si>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</si>
  <si>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</si>
  <si>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</si>
  <si>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</si>
  <si>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</si>
  <si>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</si>
  <si>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</si>
  <si>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</si>
  <si>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</si>
  <si>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</si>
  <si>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</si>
  <si>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</si>
  <si>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</si>
  <si>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</si>
  <si>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</si>
  <si>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</si>
  <si>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</si>
  <si>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</si>
  <si>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</si>
  <si>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</si>
  <si>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</si>
  <si>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</si>
  <si>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</si>
  <si>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</si>
  <si>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</si>
  <si>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</si>
  <si>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</si>
  <si>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</si>
  <si>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</si>
  <si>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</si>
  <si>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</si>
  <si>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</si>
  <si>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</si>
  <si>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</si>
  <si>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</si>
  <si>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</si>
  <si>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</si>
  <si>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</si>
  <si>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</si>
  <si>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</si>
  <si>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</si>
  <si>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</si>
  <si>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</si>
  <si>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</si>
  <si>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</si>
  <si>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</si>
  <si>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</si>
  <si>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</si>
  <si>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</si>
  <si>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</si>
  <si>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</si>
  <si>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</si>
  <si>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</si>
  <si>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</si>
  <si>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</si>
  <si>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</si>
  <si>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</si>
  <si>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</si>
  <si>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</si>
  <si>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</si>
  <si>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</si>
  <si>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</si>
  <si>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</si>
  <si>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</si>
  <si>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</si>
  <si>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</si>
  <si>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</si>
  <si>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</si>
  <si>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</si>
  <si>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</si>
  <si>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</si>
  <si>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</si>
  <si>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</si>
  <si>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</si>
  <si>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</si>
  <si>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</si>
  <si>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</si>
  <si>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</si>
  <si>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</si>
  <si>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</si>
  <si>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</si>
  <si>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</si>
  <si>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</si>
  <si>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</si>
  <si>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</si>
  <si>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</si>
  <si>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</si>
  <si>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</si>
  <si>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</si>
  <si>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</si>
  <si>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</si>
  <si>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</si>
  <si>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</si>
  <si>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</si>
  <si>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</si>
  <si>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</si>
  <si>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</si>
  <si>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</si>
  <si>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</si>
  <si>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</si>
  <si>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</si>
  <si>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</si>
  <si>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</si>
  <si>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</si>
  <si>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</si>
  <si>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</si>
  <si>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</si>
  <si>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</si>
  <si>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</si>
  <si>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</si>
  <si>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</si>
  <si>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</si>
  <si>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</si>
  <si>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</si>
  <si>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</si>
  <si>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</si>
  <si>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</si>
  <si>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</si>
  <si>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</si>
  <si>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</si>
  <si>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</si>
  <si>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</si>
  <si>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</si>
  <si>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</si>
  <si>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</si>
  <si>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</si>
  <si>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</si>
  <si>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</si>
  <si>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</si>
  <si>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</si>
  <si>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</si>
  <si>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</si>
  <si>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</si>
  <si>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</si>
  <si>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</si>
  <si>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</si>
  <si>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</si>
  <si>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</si>
  <si>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</si>
  <si>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</si>
  <si>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</si>
  <si>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</si>
  <si>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</si>
  <si>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</si>
  <si>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</si>
  <si>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</si>
  <si>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</si>
  <si>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</si>
  <si>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</si>
  <si>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</si>
  <si>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</si>
  <si>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</si>
  <si>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</si>
  <si>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</si>
  <si>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</si>
  <si>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</si>
  <si>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</si>
  <si>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</si>
  <si>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</si>
  <si>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</si>
  <si>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</si>
  <si>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</si>
  <si>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</si>
  <si>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</si>
  <si>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</si>
  <si>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</si>
  <si>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</si>
  <si>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</si>
  <si>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</si>
  <si>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</si>
  <si>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</si>
  <si>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</si>
  <si>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</si>
  <si>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</si>
  <si>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</si>
  <si>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</si>
  <si>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</si>
  <si>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</si>
  <si>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</si>
  <si>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</si>
  <si>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</si>
  <si>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</si>
  <si>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</si>
  <si>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</si>
  <si>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</si>
  <si>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</si>
  <si>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</si>
  <si>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</si>
  <si>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</si>
  <si>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</si>
  <si>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</si>
  <si>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</si>
  <si>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</si>
  <si>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</si>
  <si>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</si>
  <si>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</si>
  <si>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</si>
  <si>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</si>
  <si>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</si>
  <si>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</si>
  <si>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</si>
  <si>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</si>
  <si>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</si>
  <si>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</si>
  <si>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</si>
  <si>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</si>
  <si>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</si>
  <si>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</si>
  <si>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</si>
  <si>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</si>
  <si>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</si>
  <si>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</si>
  <si>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</si>
  <si>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</si>
  <si>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</si>
  <si>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</si>
  <si>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</si>
  <si>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</si>
  <si>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</si>
  <si>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</si>
  <si>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</si>
  <si>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</si>
  <si>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</si>
  <si>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</si>
  <si>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</si>
  <si>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</si>
  <si>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</si>
  <si>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</si>
  <si>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</si>
  <si>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</si>
  <si>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</si>
  <si>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</si>
  <si>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</si>
  <si>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</si>
  <si>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</si>
  <si>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</si>
  <si>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</si>
  <si>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</si>
  <si>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</si>
  <si>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</si>
  <si>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</si>
  <si>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</si>
  <si>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</si>
  <si>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</si>
  <si>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</si>
  <si>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</si>
  <si>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</si>
  <si>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</si>
  <si>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</si>
  <si>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</si>
  <si>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</si>
  <si>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</si>
  <si>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</si>
  <si>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</si>
  <si>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</si>
  <si>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</si>
  <si>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</si>
  <si>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</si>
  <si>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</si>
  <si>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</si>
  <si>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</si>
  <si>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</si>
  <si>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</si>
  <si>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</si>
  <si>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</si>
  <si>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</si>
  <si>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</si>
  <si>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</si>
  <si>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</si>
  <si>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</si>
  <si>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</si>
  <si>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</si>
  <si>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</si>
  <si>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</si>
  <si>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</si>
  <si>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</si>
  <si>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</si>
  <si>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</si>
  <si>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</si>
  <si>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</si>
  <si>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</si>
  <si>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</si>
  <si>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</si>
  <si>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</si>
  <si>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</si>
  <si>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</si>
  <si>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</si>
  <si>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</si>
  <si>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</si>
  <si>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</si>
  <si>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</si>
  <si>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</si>
  <si>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</si>
  <si>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</si>
  <si>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</si>
  <si>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</si>
  <si>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</si>
  <si>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</si>
  <si>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</si>
  <si>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</si>
  <si>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</si>
  <si>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</si>
  <si>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</si>
  <si>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</si>
  <si>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</si>
  <si>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</si>
  <si>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</si>
  <si>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</si>
  <si>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</si>
  <si>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</si>
  <si>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</si>
  <si>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</si>
  <si>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</si>
  <si>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</si>
  <si>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</si>
  <si>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</si>
  <si>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</si>
  <si>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</si>
  <si>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</si>
  <si>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</si>
  <si>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</si>
  <si>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</si>
  <si>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</si>
  <si>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</si>
  <si>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</si>
  <si>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</si>
  <si>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</si>
  <si>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</si>
  <si>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</si>
  <si>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</si>
  <si>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</si>
  <si>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</si>
  <si>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</si>
  <si>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</si>
  <si>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</si>
  <si>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</si>
  <si>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</si>
  <si>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</si>
  <si>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</si>
  <si>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</si>
  <si>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</si>
  <si>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</si>
  <si>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</si>
  <si>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</si>
  <si>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</si>
  <si>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</si>
  <si>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</si>
  <si>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</si>
  <si>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</si>
  <si>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</si>
  <si>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</si>
  <si>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</si>
  <si>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</si>
  <si>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</si>
  <si>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</si>
  <si>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</si>
  <si>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</si>
  <si>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</si>
  <si>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</si>
  <si>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</si>
  <si>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</si>
  <si>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</si>
  <si>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</si>
  <si>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</si>
  <si>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</si>
  <si>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</si>
  <si>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</si>
  <si>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</si>
  <si>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</si>
  <si>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</si>
  <si>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</si>
  <si>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</si>
  <si>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</si>
  <si>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</si>
  <si>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</si>
  <si>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</si>
  <si>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</si>
  <si>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</si>
  <si>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</si>
  <si>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</si>
  <si>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</si>
  <si>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</si>
  <si>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</si>
  <si>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</si>
  <si>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</si>
  <si>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</si>
  <si>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</si>
  <si>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</si>
  <si>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</si>
  <si>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</si>
  <si>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</si>
  <si>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</si>
  <si>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</si>
  <si>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</si>
  <si>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</si>
  <si>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</si>
  <si>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</si>
  <si>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</si>
  <si>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</si>
  <si>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</si>
  <si>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</si>
  <si>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</si>
  <si>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</si>
  <si>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</si>
  <si>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</si>
  <si>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</si>
  <si>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</si>
  <si>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</si>
  <si>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</si>
  <si>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</si>
  <si>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</si>
  <si>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</si>
  <si>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</si>
  <si>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</si>
  <si>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</si>
  <si>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</si>
  <si>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</si>
  <si>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</si>
  <si>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</si>
  <si>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</si>
  <si>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</si>
  <si>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</si>
  <si>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</si>
  <si>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</si>
  <si>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</si>
  <si>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</si>
  <si>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</si>
  <si>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</si>
  <si>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</si>
  <si>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</si>
  <si>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</si>
  <si>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</si>
  <si>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</si>
  <si>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</si>
  <si>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</si>
  <si>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</si>
  <si>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</si>
  <si>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</si>
  <si>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</si>
  <si>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</si>
  <si>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</si>
  <si>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</si>
  <si>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</si>
  <si>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</si>
  <si>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</si>
  <si>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</si>
  <si>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</si>
  <si>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</si>
  <si>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</si>
  <si>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</si>
  <si>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</si>
  <si>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</si>
  <si>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</si>
  <si>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</si>
  <si>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</si>
  <si>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</si>
  <si>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</si>
  <si>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</si>
  <si>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</si>
  <si>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</si>
  <si>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</si>
  <si>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</si>
  <si>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</si>
  <si>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</si>
  <si>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</si>
  <si>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</si>
  <si>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</si>
  <si>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</si>
  <si>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</si>
  <si>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</si>
  <si>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</si>
  <si>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</si>
  <si>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</si>
  <si>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</si>
  <si>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</si>
  <si>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</si>
  <si>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</si>
  <si>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</si>
  <si>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</si>
  <si>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</si>
  <si>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</si>
  <si>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</si>
  <si>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</si>
  <si>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</si>
  <si>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</si>
  <si>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</si>
  <si>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</si>
  <si>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</si>
  <si>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</si>
  <si>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</si>
  <si>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</si>
  <si>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</si>
  <si>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</si>
  <si>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</si>
  <si>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</si>
  <si>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</si>
  <si>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</si>
  <si>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</si>
  <si>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</si>
  <si>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</si>
  <si>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</si>
  <si>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</si>
  <si>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</si>
  <si>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</si>
  <si>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</si>
  <si>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</si>
  <si>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</si>
  <si>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</si>
  <si>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</si>
  <si>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</si>
  <si>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</si>
  <si>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</si>
  <si>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</si>
  <si>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</si>
  <si>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</si>
  <si>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</si>
  <si>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</si>
  <si>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</si>
  <si>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</si>
  <si>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</si>
  <si>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</si>
  <si>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</si>
  <si>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</si>
  <si>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</si>
  <si>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</si>
  <si>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</si>
  <si>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</si>
  <si>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</si>
  <si>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</si>
  <si>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</si>
  <si>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</si>
  <si>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</si>
  <si>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</si>
  <si>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</si>
  <si>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</si>
  <si>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</si>
  <si>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</si>
  <si>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</si>
  <si>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</si>
  <si>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</si>
  <si>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</si>
  <si>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</si>
  <si>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</si>
  <si>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</si>
  <si>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</si>
  <si>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</si>
  <si>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</si>
  <si>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</si>
  <si>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</si>
  <si>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</si>
  <si>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</si>
  <si>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</si>
  <si>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</si>
  <si>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</si>
  <si>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</si>
  <si>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</si>
  <si>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</si>
  <si>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</si>
  <si>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</si>
  <si>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</si>
  <si>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</si>
  <si>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</si>
  <si>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</si>
  <si>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</si>
  <si>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</si>
  <si>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</si>
  <si>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</si>
  <si>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</si>
  <si>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</si>
  <si>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</si>
  <si>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</si>
  <si>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</si>
  <si>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</si>
  <si>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</si>
  <si>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</si>
  <si>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</si>
  <si>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</si>
  <si>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</si>
  <si>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</si>
  <si>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</si>
  <si>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</si>
  <si>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</si>
  <si>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</si>
  <si>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</si>
  <si>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</si>
  <si>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</si>
  <si>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</si>
  <si>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</si>
  <si>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</si>
  <si>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</si>
  <si>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</si>
  <si>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</si>
  <si>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</si>
  <si>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</si>
  <si>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</si>
  <si>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</si>
  <si>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</si>
  <si>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</si>
  <si>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</si>
  <si>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</si>
  <si>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</si>
  <si>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</si>
  <si>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</si>
  <si>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</si>
  <si>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</si>
  <si>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</si>
  <si>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</si>
  <si>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</si>
  <si>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</si>
  <si>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</si>
  <si>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</si>
  <si>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</si>
  <si>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</si>
  <si>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</si>
  <si>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</si>
  <si>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</si>
  <si>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</si>
  <si>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</si>
  <si>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</si>
  <si>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</si>
  <si>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</si>
  <si>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</si>
  <si>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</si>
  <si>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</si>
  <si>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</si>
  <si>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</si>
  <si>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</si>
  <si>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</si>
  <si>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</si>
  <si>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</si>
  <si>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</si>
  <si>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</si>
  <si>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</si>
  <si>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</si>
  <si>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</si>
  <si>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</si>
  <si>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</si>
  <si>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</si>
  <si>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</si>
  <si>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</si>
  <si>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</si>
  <si>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</si>
  <si>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</si>
  <si>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</si>
  <si>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</si>
  <si>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</si>
  <si>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</si>
  <si>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</si>
  <si>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</si>
  <si>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</si>
  <si>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</si>
  <si>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</si>
  <si>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</si>
  <si>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</si>
  <si>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</si>
  <si>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</si>
  <si>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</si>
  <si>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</si>
  <si>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</si>
  <si>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</si>
  <si>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</si>
  <si>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</si>
  <si>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</si>
  <si>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</si>
  <si>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</si>
  <si>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</si>
  <si>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</si>
  <si>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</si>
  <si>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</si>
  <si>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</si>
  <si>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</si>
  <si>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</si>
  <si>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</si>
  <si>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</si>
  <si>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</si>
  <si>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</si>
  <si>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</si>
  <si>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</si>
  <si>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</si>
  <si>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</si>
  <si>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</si>
  <si>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</si>
  <si>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</si>
  <si>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</si>
  <si>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</si>
  <si>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</si>
  <si>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</si>
  <si>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</si>
  <si>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</si>
  <si>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</si>
  <si>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</si>
  <si>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</si>
  <si>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</si>
  <si>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</si>
  <si>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</si>
  <si>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</si>
  <si>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</si>
  <si>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</si>
  <si>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</si>
  <si>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</si>
  <si>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</si>
  <si>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</si>
  <si>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</si>
  <si>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</si>
  <si>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</si>
  <si>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</si>
  <si>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</si>
  <si>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</si>
  <si>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</si>
  <si>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</si>
  <si>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</si>
  <si>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</si>
  <si>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</si>
  <si>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</si>
  <si>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</si>
  <si>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</si>
  <si>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</si>
  <si>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</si>
  <si>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</si>
  <si>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</si>
  <si>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</si>
  <si>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</si>
  <si>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</si>
  <si>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</si>
  <si>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</si>
  <si>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</si>
  <si>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</si>
  <si>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</si>
  <si>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</si>
  <si>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</si>
  <si>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</si>
  <si>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</si>
  <si>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</si>
  <si>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</si>
  <si>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</si>
  <si>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</si>
  <si>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</si>
  <si>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</si>
  <si>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</si>
  <si>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</si>
  <si>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</si>
  <si>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</si>
  <si>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</si>
  <si>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</si>
  <si>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</si>
  <si>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</si>
  <si>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</si>
  <si>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</si>
  <si>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</si>
  <si>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</si>
  <si>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</si>
  <si>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</si>
  <si>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</si>
  <si>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</si>
  <si>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</si>
  <si>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</si>
  <si>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</si>
  <si>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</si>
  <si>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</si>
  <si>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</si>
  <si>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</si>
  <si>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</si>
  <si>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</si>
  <si>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</si>
  <si>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</si>
  <si>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</si>
  <si>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</si>
  <si>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</si>
  <si>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</si>
  <si>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</si>
  <si>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</si>
  <si>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</si>
  <si>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</si>
  <si>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</si>
  <si>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</si>
  <si>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</si>
  <si>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</si>
  <si>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</si>
  <si>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</si>
  <si>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</si>
  <si>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</si>
  <si>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</si>
  <si>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</si>
  <si>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</si>
  <si>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</si>
  <si>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</si>
  <si>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</si>
  <si>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</si>
  <si>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</si>
  <si>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</si>
  <si>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</si>
  <si>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</si>
  <si>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</si>
  <si>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</si>
  <si>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</si>
  <si>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</si>
  <si>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</si>
  <si>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</si>
  <si>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</si>
  <si>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</si>
  <si>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</si>
  <si>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</si>
  <si>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</si>
  <si>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</si>
  <si>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</si>
  <si>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</si>
  <si>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</si>
  <si>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</si>
  <si>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</si>
  <si>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</si>
  <si>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</si>
  <si>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</si>
  <si>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</si>
  <si>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</si>
  <si>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</si>
  <si>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</si>
  <si>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</si>
  <si>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</si>
  <si>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</si>
  <si>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</si>
  <si>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</si>
  <si>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</si>
  <si>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</si>
  <si>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</si>
  <si>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</si>
  <si>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</si>
  <si>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</si>
  <si>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</si>
  <si>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</si>
  <si>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</si>
  <si>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</si>
  <si>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</si>
  <si>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</si>
  <si>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</si>
  <si>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</si>
  <si>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</si>
  <si>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</si>
  <si>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</si>
  <si>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</si>
  <si>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</si>
  <si>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</si>
  <si>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</si>
  <si>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</si>
  <si>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</si>
  <si>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</si>
  <si>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</si>
  <si>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</si>
  <si>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</si>
  <si>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</si>
  <si>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</si>
  <si>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</si>
  <si>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</si>
  <si>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</si>
  <si>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</si>
  <si>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</si>
  <si>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</si>
  <si>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</si>
  <si>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</si>
  <si>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</si>
  <si>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</si>
  <si>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</si>
  <si>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</si>
  <si>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</si>
  <si>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</si>
  <si>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</si>
  <si>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</si>
  <si>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</si>
  <si>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</si>
  <si>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</si>
  <si>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</si>
  <si>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</si>
  <si>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</si>
  <si>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</si>
  <si>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</si>
  <si>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</si>
  <si>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</si>
  <si>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</si>
  <si>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</si>
  <si>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</si>
  <si>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</si>
  <si>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</si>
  <si>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</si>
  <si>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</si>
  <si>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</si>
  <si>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</si>
  <si>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</si>
  <si>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</si>
  <si>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</si>
  <si>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</si>
  <si>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</si>
  <si>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</si>
  <si>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</si>
  <si>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</si>
  <si>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</si>
  <si>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</si>
  <si>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</si>
  <si>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</si>
  <si>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</si>
  <si>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</si>
  <si>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</si>
  <si>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</si>
  <si>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</si>
  <si>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</si>
  <si>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</si>
  <si>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</si>
  <si>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</si>
  <si>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</si>
  <si>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</si>
  <si>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</si>
  <si>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</si>
  <si>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</si>
  <si>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</si>
  <si>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</si>
  <si>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</si>
  <si>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</si>
  <si>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</si>
  <si>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</si>
  <si>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</si>
  <si>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</si>
  <si>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</si>
  <si>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</si>
  <si>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</si>
  <si>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</si>
  <si>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</si>
  <si>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</si>
  <si>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</si>
  <si>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</si>
  <si>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</si>
  <si>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</si>
  <si>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</si>
  <si>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</si>
  <si>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</si>
  <si>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</si>
  <si>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</si>
  <si>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</si>
  <si>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</si>
  <si>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</si>
  <si>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</si>
  <si>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</si>
  <si>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</si>
  <si>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</si>
  <si>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</si>
  <si>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</si>
  <si>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</si>
  <si>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</si>
  <si>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</si>
  <si>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</si>
  <si>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</si>
  <si>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</si>
  <si>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</si>
  <si>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</si>
  <si>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</si>
  <si>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</si>
  <si>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</si>
  <si>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</si>
  <si>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</si>
  <si>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</si>
  <si>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</si>
  <si>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</si>
  <si>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</si>
  <si>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</si>
  <si>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</si>
  <si>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</si>
  <si>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</si>
  <si>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</si>
  <si>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</si>
  <si>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</si>
  <si>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</si>
  <si>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</si>
  <si>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</si>
  <si>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</si>
  <si>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</si>
  <si>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</si>
  <si>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</si>
  <si>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</si>
  <si>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</si>
  <si>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</si>
  <si>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</si>
  <si>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</si>
  <si>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</si>
  <si>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</si>
  <si>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</si>
  <si>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</si>
  <si>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</si>
  <si>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</si>
  <si>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</si>
  <si>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</si>
  <si>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</si>
  <si>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</si>
  <si>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</si>
  <si>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</si>
  <si>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</si>
  <si>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</si>
  <si>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</si>
  <si>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</si>
  <si>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</si>
  <si>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</si>
  <si>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</si>
  <si>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</si>
  <si>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</si>
  <si>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</si>
  <si>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</si>
  <si>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</si>
  <si>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</si>
  <si>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</si>
  <si>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</si>
  <si>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</si>
  <si>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</si>
  <si>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</si>
  <si>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</si>
  <si>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</si>
  <si>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</si>
  <si>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</si>
  <si>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</si>
  <si>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</si>
  <si>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</si>
  <si>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</si>
  <si>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</si>
  <si>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</si>
  <si>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</si>
  <si>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</si>
  <si>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</si>
  <si>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</si>
  <si>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</si>
  <si>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</si>
  <si>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</si>
  <si>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</si>
  <si>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</si>
  <si>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</si>
  <si>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</si>
  <si>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</si>
  <si>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</si>
  <si>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</si>
  <si>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</si>
  <si>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</si>
  <si>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</si>
  <si>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</si>
  <si>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</si>
  <si>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</si>
  <si>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</si>
  <si>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</si>
  <si>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</si>
  <si>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</si>
  <si>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</si>
  <si>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</si>
  <si>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이 워크시트에 Gantt 차트를 만듭니다.
B1 셀에 이 프로젝트의 제목을 입력합니다. 
정보 워크시트에는 화면 읽기 프로그램 및 이 통합 문서의 작성자에 대한 지침을 포함하여 이 워크시트를 사용하는 방법에 대한 정보가 표시됩니다.
추가 지침을 보려면 A 열 아래로 계속 이동합니다.</t>
  </si>
  <si>
    <t>프로젝트 제목</t>
  </si>
  <si>
    <t>B2 셀에 회사 이름을 입력합니다.
E2 셀에 프로젝트 시작 날짜를 입력하거나 샘플 수식을 허용하여 Gantt 데이터 표에서 가장 작은 날짜 값을 찾습니다.  프로젝트 시작 날짜: C2 셀에 레이블이 표시됩니다.</t>
  </si>
  <si>
    <t>회사 이름</t>
  </si>
  <si>
    <t>프로젝트 시작 날짜:</t>
  </si>
  <si>
    <t>B3 셀에 프로젝트 리더의 이름을 입력합니다. 
E3 셀에 스크롤 증분이 표시됩니다. 스크롤 막대는 H3에서 M3 셀까지 있습니다. 스크롤 증분을 늘리거나 스크롤 막대를 사용하면 Gantt 차트 시간 표시줄이 증가합니다. 
E3 셀에 0을 입력하면 차트가 프로젝트의 시작으로 다시 설정됩니다.</t>
  </si>
  <si>
    <t>프로젝트 리드</t>
  </si>
  <si>
    <t>스크롤 증분:</t>
  </si>
  <si>
    <t>기본 중요 시점 표식 유형을 수정하려면 E5 셀에서 0, 1, 2 중 하나를 입력합니다. F5 셀에 해당 표식이 나타납니다. 표식을 변경하려면 해당 셀 및 아래 표의 조건부 서식을 수정합니다.
5행에 있는 날짜의 월은 H4 셀에서 BK4 셀까지 표시됩니다.
해당 셀을 수정하지 마세요. 프로젝트 시작 날짜 및 스크롤 막대 증분을 기준으로 자동 업데이트됩니다.
스크롤 증분: 레이블은 C4 셀에 있습니다.</t>
  </si>
  <si>
    <t>중요 시점 표식:</t>
  </si>
  <si>
    <t>H5 셀에서 BK5 셀까지는 각 날짜 셀 위의 셀 블록에 표시된 월의 날짜 수가 포함되어 있으며 이는 자동으로 계산됩니다.
해당 셀을 수정하지 마세요.
오늘까지의 날짜는 음영 처리됩니다.</t>
  </si>
  <si>
    <t>이 행에 프로젝트 일정의 머리글이 표시되고 일정이 그 아래에 이어집니다. 
B7에서 BK7로 이동하여 콘텐츠를 듣습니다. 해당 제목 위에 있는 날짜에 대한 요일의 첫 번째 글자는 H7 셀에서 시작하여 BK7 셀까지 계속됩니다.
모든 프로젝트 시간 표시 막대 차트는 중요 시점 표에 입력된 범주, 시작 날짜 및 일 수에 따라 자동 생성됩니다.
이러한 셀의 수식은 Gantt 차트의 모양을 만드는 데 도움이 됩니다. 해당 셀을 수정하지 마세요.</t>
  </si>
  <si>
    <t>품번</t>
    <phoneticPr fontId="2" type="noConversion"/>
  </si>
  <si>
    <t>품명</t>
    <phoneticPr fontId="2" type="noConversion"/>
  </si>
  <si>
    <t>업체</t>
    <phoneticPr fontId="2" type="noConversion"/>
  </si>
  <si>
    <t>시작</t>
  </si>
  <si>
    <t>일수</t>
  </si>
  <si>
    <t xml:space="preserve">이 행을 삭제하지 마세요. 프로젝트 일정에서 현재 날짜를 강조 표시하는 데 사용되는 수식을 유지하기 위해 이 행을 숨깁니다. </t>
  </si>
  <si>
    <t>B8 셀에서 F8 셀까지 프로젝트 정보를 입력합니다. 
B8 셀에서 G32 셀까지 샘플 데이터가 표시됩니다.
중요 시점 설명을 입력하고, 항목에 사용자를 할당하고, 작업 진행률을 완료율로 입력하고, 작업의 시작 날짜와 기간을 일수로 입력합니다.
데이터가 입력되면 Gantt 차트가 자동으로 업데이트됩니다.
다음 지침은 A33 셀에 있습니다.</t>
  </si>
  <si>
    <t>제목 1</t>
  </si>
  <si>
    <t>DMP0001</t>
    <phoneticPr fontId="2" type="noConversion"/>
  </si>
  <si>
    <t>이름</t>
  </si>
  <si>
    <t>작업 2</t>
  </si>
  <si>
    <t>작업 3</t>
  </si>
  <si>
    <t>작업 4</t>
  </si>
  <si>
    <t>작업 5</t>
  </si>
  <si>
    <t>제목 2</t>
  </si>
  <si>
    <t>작업 1</t>
  </si>
  <si>
    <t>제목 3</t>
  </si>
  <si>
    <t>제목 4</t>
  </si>
  <si>
    <t>빈 행입니다</t>
  </si>
  <si>
    <t>이 행에는 Gantt 중요 시점 데이터의 끝이 표시됩니다. 이 행에는 아무것도 입력하지 마세요. 
항목을 추가 하려면 이 위에 새 행을 삽입합니다.</t>
  </si>
  <si>
    <t>데이터를 추가하려면 이 항목 위에 새 행을 삽입합니다.</t>
  </si>
  <si>
    <t>{"TASK_FIRST_COL":"5","START_ROW":"5","WBS_AREA_LAST_COL":"32"}</t>
    <phoneticPr fontId="4" type="noConversion"/>
  </si>
  <si>
    <t>SCHEDULE_SHEET_POSITION:3545151618192021222324252627282930313233</t>
    <phoneticPr fontId="2" type="noConversion"/>
  </si>
  <si>
    <t>모바일 프로젝트</t>
  </si>
  <si>
    <t>자료 수집</t>
  </si>
  <si>
    <t>맛집 데이터 수집</t>
  </si>
  <si>
    <t>로그인 자바 코드 구현(클라이언트)</t>
  </si>
  <si>
    <t>로그인 UI 구현</t>
  </si>
  <si>
    <t>로그인 내용 DB에 전달, 저장(서버, DB)</t>
  </si>
  <si>
    <t>로그인 엑티비티 구현</t>
  </si>
  <si>
    <t>홈 엑티비티 구현</t>
  </si>
  <si>
    <t>홈 UI 구현</t>
  </si>
  <si>
    <t>GPS, 네이버 지도 내 위치 구현(클라이언트)</t>
  </si>
  <si>
    <t>하단 메뉴 바 구현(클라이언트)</t>
  </si>
  <si>
    <t>맛집 데이터 DB에 저장(DB)</t>
  </si>
  <si>
    <t>지도 엑티비티 구현</t>
  </si>
  <si>
    <t>가게 검색 기능 구현(클라이언트)</t>
  </si>
  <si>
    <t>리뷰 엑티비티 구현</t>
  </si>
  <si>
    <t>지도 엑티비티 UI 구현</t>
  </si>
  <si>
    <t>리뷰 엑티비티 UI 구현</t>
  </si>
  <si>
    <t>리뷰 검색 기능 구현(클라이언트, 서버, DB)</t>
  </si>
  <si>
    <t>리뷰 추가 기능 구현(클라이언트, 서버, DB)</t>
  </si>
  <si>
    <t>주변 맛집 리스트 구현(클라이언트, 서버, DB)</t>
  </si>
  <si>
    <t>가게 상세 리뷰 UI 구현</t>
  </si>
  <si>
    <t>리뷰 리스트 구현(클라이언트, 서버, DB)</t>
  </si>
  <si>
    <t>가게 상세 리뷰 리스트 구현(클라이언트, 서버, DB)</t>
  </si>
  <si>
    <t>내정보 엑티비티 구현</t>
  </si>
  <si>
    <t>내정보 엑티비티 UI 구현</t>
  </si>
  <si>
    <t>내가 쓴 리뷰 리스트 구현(클라이언트, 서버, DB)</t>
  </si>
  <si>
    <t>내 정보 보여주는 자바코드 구현(클라이언트, 서버, DB)</t>
  </si>
  <si>
    <t>맛집 알림 기능 구현</t>
  </si>
  <si>
    <t>1.3.5</t>
  </si>
  <si>
    <t>1.3.6</t>
  </si>
  <si>
    <t>1.5</t>
  </si>
  <si>
    <t>1.5.1</t>
  </si>
  <si>
    <t>1.5.2</t>
  </si>
  <si>
    <t>1.5.3</t>
  </si>
  <si>
    <t>1.5.4</t>
  </si>
  <si>
    <t>1.5.5</t>
  </si>
  <si>
    <t>1.5.5.1</t>
  </si>
  <si>
    <t>1.6</t>
  </si>
  <si>
    <t>1.6.1</t>
  </si>
  <si>
    <t>1.6.2</t>
  </si>
  <si>
    <t>1.6.3</t>
  </si>
  <si>
    <t>1.7</t>
  </si>
  <si>
    <t>맛알림</t>
    <phoneticPr fontId="2" type="noConversion"/>
  </si>
  <si>
    <t>파워포인트</t>
    <phoneticPr fontId="4" type="noConversion"/>
  </si>
  <si>
    <t>자동지정</t>
    <phoneticPr fontId="4" type="noConversion"/>
  </si>
  <si>
    <t>워드</t>
    <phoneticPr fontId="4" type="noConversion"/>
  </si>
  <si>
    <t>엑셀</t>
    <phoneticPr fontId="4" type="noConversion"/>
  </si>
  <si>
    <t>11/07
W46</t>
  </si>
  <si>
    <t>12/05
W50</t>
  </si>
  <si>
    <t>W5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</si>
</sst>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
  </numFmts>
  <fonts count="70">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sz val="11"/>
      <color theme="0"/>
      <name val="맑은 고딕"/>
      <family val="2"/>
      <scheme val="minor"/>
    </font>
    <font>
      <b/>
      <sz val="22"/>
      <color theme="8" tint="-0.499984740745262"/>
      <name val="맑은 고딕"/>
      <family val="2"/>
      <scheme val="major"/>
    </font>
    <font>
      <sz val="11"/>
      <color theme="8" tint="-0.499984740745262"/>
      <name val="맑은 고딕"/>
      <family val="2"/>
      <scheme val="minor"/>
    </font>
    <font>
      <b/>
      <sz val="20"/>
      <color theme="4" tint="-0.249977111117893"/>
      <name val="맑은 고딕"/>
      <family val="2"/>
      <scheme val="major"/>
    </font>
    <font>
      <sz val="10"/>
      <name val="맑은 고딕"/>
      <family val="2"/>
      <scheme val="minor"/>
    </font>
    <font>
      <sz val="14"/>
      <color theme="8" tint="-0.499984740745262"/>
      <name val="맑은 고딕"/>
      <family val="2"/>
      <scheme val="minor"/>
    </font>
    <font>
      <i/>
      <sz val="11"/>
      <color rgb="FF7F7F7F"/>
      <name val="맑은 고딕"/>
      <family val="2"/>
      <scheme val="minor"/>
    </font>
    <font>
      <sz val="16"/>
      <color theme="8" tint="-0.499984740745262"/>
      <name val="맑은 고딕"/>
      <family val="2"/>
      <scheme val="minor"/>
    </font>
    <font>
      <sz val="10"/>
      <color theme="0"/>
      <name val="맑은 고딕"/>
      <family val="2"/>
      <scheme val="minor"/>
    </font>
    <font>
      <b/>
      <sz val="10"/>
      <color theme="0"/>
      <name val="맑은 고딕"/>
      <family val="2"/>
      <scheme val="minor"/>
    </font>
    <font>
      <sz val="11"/>
      <name val="맑은 고딕"/>
      <family val="2"/>
      <scheme val="minor"/>
    </font>
    <font>
      <b/>
      <sz val="11"/>
      <color theme="1" tint="0.499984740745262"/>
      <name val="맑은 고딕"/>
      <family val="2"/>
      <scheme val="minor"/>
    </font>
    <font>
      <u/>
      <sz val="11"/>
      <color indexed="12"/>
      <name val="Arial"/>
      <family val="2"/>
    </font>
    <font>
      <sz val="10"/>
      <color theme="1" tint="0.499984740745262"/>
      <name val="맑은 고딕"/>
      <family val="3"/>
      <charset val="129"/>
      <scheme val="major"/>
    </font>
    <font>
      <sz val="11"/>
      <color theme="8" tint="-0.499984740745262"/>
      <name val="맑은 고딕"/>
      <family val="3"/>
      <charset val="129"/>
      <scheme val="major"/>
    </font>
  </fonts>
  <fills count="28">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
      <patternFill patternType="solid">
        <fgColor rgb="FFFFFF00"/>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00CC00"/>
        <bgColor indexed="64"/>
      </patternFill>
    </fill>
  </fills>
  <borders count="4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8"/>
      </top>
      <bottom style="medium">
        <color theme="8"/>
      </bottom>
      <diagonal/>
    </border>
    <border>
      <left/>
      <right style="thin">
        <color theme="8" tint="0.79998168889431442"/>
      </right>
      <top style="medium">
        <color theme="8"/>
      </top>
      <bottom/>
      <diagonal/>
    </border>
    <border>
      <left/>
      <right/>
      <top style="thin">
        <color theme="8"/>
      </top>
      <bottom/>
      <diagonal/>
    </border>
    <border>
      <left/>
      <right style="thin">
        <color theme="8" tint="0.79998168889431442"/>
      </right>
      <top style="thin">
        <color theme="8"/>
      </top>
      <bottom/>
      <diagonal/>
    </border>
    <border>
      <left/>
      <right style="thin">
        <color theme="0" tint="-0.24994659260841701"/>
      </right>
      <top style="thin">
        <color theme="8"/>
      </top>
      <bottom/>
      <diagonal/>
    </border>
    <border>
      <left style="thin">
        <color theme="0" tint="-0.34998626667073579"/>
      </left>
      <right style="thin">
        <color theme="0" tint="-0.34998626667073579"/>
      </right>
      <top/>
      <bottom style="medium">
        <color theme="8"/>
      </bottom>
      <diagonal/>
    </border>
    <border>
      <left style="thin">
        <color theme="0" tint="-0.34998626667073579"/>
      </left>
      <right/>
      <top/>
      <bottom style="medium">
        <color theme="8"/>
      </bottom>
      <diagonal/>
    </border>
    <border>
      <left style="thin">
        <color theme="8" tint="0.79995117038483843"/>
      </left>
      <right style="thin">
        <color theme="8" tint="0.79998168889431442"/>
      </right>
      <top/>
      <bottom style="medium">
        <color theme="8"/>
      </bottom>
      <diagonal/>
    </border>
    <border>
      <left style="thin">
        <color theme="8" tint="0.79998168889431442"/>
      </left>
      <right style="thin">
        <color theme="8" tint="0.79998168889431442"/>
      </right>
      <top/>
      <bottom style="medium">
        <color theme="8"/>
      </bottom>
      <diagonal/>
    </border>
    <border>
      <left style="thin">
        <color theme="0" tint="-0.14993743705557422"/>
      </left>
      <right style="thin">
        <color theme="0" tint="-0.14993743705557422"/>
      </right>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medium">
        <color theme="0" tint="-0.14996795556505021"/>
      </bottom>
      <diagonal/>
    </border>
    <border>
      <left style="thin">
        <color theme="0" tint="-0.14993743705557422"/>
      </left>
      <right style="thin">
        <color theme="0" tint="-0.14993743705557422"/>
      </right>
      <top/>
      <bottom style="medium">
        <color theme="0" tint="-0.14996795556505021"/>
      </bottom>
      <diagonal/>
    </border>
    <border>
      <left style="thin">
        <color theme="0" tint="-0.1498764000366222"/>
      </left>
      <right style="thin">
        <color theme="0" tint="-0.1498764000366222"/>
      </right>
      <top/>
      <bottom style="thin">
        <color theme="0" tint="-0.1498764000366222"/>
      </bottom>
      <diagonal/>
    </border>
  </borders>
  <cellStyleXfs count="18">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xf numFmtId="0" fontId="55" fillId="0" borderId="0"/>
    <xf numFmtId="0" fontId="56" fillId="0" borderId="0" applyNumberFormat="0" applyFill="0" applyBorder="0" applyAlignment="0" applyProtection="0"/>
    <xf numFmtId="0" fontId="57" fillId="0" borderId="0"/>
    <xf numFmtId="0" fontId="60" fillId="0" borderId="0" applyNumberFormat="0" applyFill="0" applyAlignment="0" applyProtection="0"/>
    <xf numFmtId="0" fontId="57" fillId="0" borderId="0" applyNumberFormat="0" applyFill="0" applyProtection="0">
      <alignment horizontal="right" vertical="center" indent="1"/>
    </xf>
    <xf numFmtId="14" fontId="57" fillId="0" borderId="0" applyFill="0" applyBorder="0">
      <alignment horizontal="center" vertical="center"/>
    </xf>
    <xf numFmtId="0" fontId="61" fillId="0" borderId="0" applyNumberFormat="0" applyFill="0" applyBorder="0" applyAlignment="0" applyProtection="0"/>
    <xf numFmtId="0" fontId="62" fillId="0" borderId="35" applyNumberFormat="0" applyFill="0" applyProtection="0"/>
    <xf numFmtId="0" fontId="63" fillId="25" borderId="36" applyNumberFormat="0" applyProtection="0">
      <alignment horizontal="center" vertical="center"/>
    </xf>
    <xf numFmtId="37" fontId="48" fillId="0" borderId="0" applyFont="0" applyFill="0" applyBorder="0" applyProtection="0">
      <alignment horizontal="center" vertical="center"/>
    </xf>
    <xf numFmtId="0" fontId="67" fillId="0" borderId="0" applyNumberFormat="0" applyFill="0" applyBorder="0" applyAlignment="0" applyProtection="0">
      <alignment vertical="top"/>
      <protection locked="0"/>
    </xf>
  </cellStyleXfs>
  <cellXfs count="36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20" fillId="23" borderId="2" xfId="4" applyNumberFormat="1" applyFont="1" applyFill="1" applyBorder="1" applyAlignment="1" applyProtection="1">
      <alignment horizontal="center" vertical="center"/>
    </xf>
    <xf numFmtId="0" fontId="23" fillId="23" borderId="30" xfId="4" applyNumberFormat="1" applyFont="1" applyFill="1" applyBorder="1" applyAlignment="1" applyProtection="1">
      <alignment horizontal="center" vertical="top"/>
      <protection locked="0"/>
    </xf>
    <xf numFmtId="0" fontId="23" fillId="23" borderId="29" xfId="4" applyNumberFormat="1" applyFont="1" applyFill="1" applyBorder="1" applyAlignment="1" applyProtection="1">
      <alignment horizontal="center" vertical="top"/>
      <protection locked="0"/>
    </xf>
    <xf numFmtId="0" fontId="23" fillId="23" borderId="5" xfId="4" applyNumberFormat="1" applyFont="1" applyFill="1" applyBorder="1" applyAlignment="1" applyProtection="1">
      <alignment horizontal="center" vertical="top"/>
      <protection locked="0"/>
    </xf>
    <xf numFmtId="14" fontId="22" fillId="23" borderId="30" xfId="4" applyNumberFormat="1" applyFont="1" applyFill="1" applyBorder="1" applyAlignment="1" applyProtection="1">
      <alignment horizontal="center" vertical="top"/>
      <protection locked="0"/>
    </xf>
    <xf numFmtId="0" fontId="22" fillId="23" borderId="30" xfId="4" applyNumberFormat="1" applyFont="1" applyFill="1" applyBorder="1" applyAlignment="1" applyProtection="1">
      <alignment horizontal="center" vertical="top"/>
      <protection locked="0"/>
    </xf>
    <xf numFmtId="0" fontId="55" fillId="0" borderId="0" xfId="7" applyAlignment="1">
      <alignment wrapText="1"/>
    </xf>
    <xf numFmtId="0" fontId="56" fillId="0" borderId="0" xfId="8" applyAlignment="1">
      <alignment horizontal="left"/>
    </xf>
    <xf numFmtId="0" fontId="58" fillId="0" borderId="0" xfId="9" applyFont="1" applyAlignment="1">
      <alignment horizontal="left"/>
    </xf>
    <xf numFmtId="0" fontId="57" fillId="0" borderId="0" xfId="9"/>
    <xf numFmtId="0" fontId="59" fillId="0" borderId="0" xfId="9" applyFont="1" applyAlignment="1">
      <alignment horizontal="center" vertical="center"/>
    </xf>
    <xf numFmtId="0" fontId="60" fillId="0" borderId="0" xfId="10"/>
    <xf numFmtId="0" fontId="0" fillId="0" borderId="0" xfId="11" applyFont="1">
      <alignment horizontal="right" vertical="center" indent="1"/>
    </xf>
    <xf numFmtId="0" fontId="61" fillId="0" borderId="0" xfId="13" applyAlignment="1">
      <alignment wrapText="1"/>
    </xf>
    <xf numFmtId="0" fontId="57" fillId="0" borderId="33" xfId="9" applyBorder="1" applyAlignment="1">
      <alignment horizontal="center" vertical="center"/>
    </xf>
    <xf numFmtId="0" fontId="57" fillId="25" borderId="0" xfId="9" applyFill="1"/>
    <xf numFmtId="0" fontId="57" fillId="25" borderId="0" xfId="11" applyFill="1">
      <alignment horizontal="right" vertical="center" indent="1"/>
    </xf>
    <xf numFmtId="0" fontId="57" fillId="0" borderId="0" xfId="11" applyAlignment="1">
      <alignment horizontal="right" vertical="center" wrapText="1" indent="1"/>
    </xf>
    <xf numFmtId="0" fontId="57" fillId="24" borderId="34" xfId="9" applyFill="1" applyBorder="1" applyAlignment="1">
      <alignment horizontal="center" vertical="center"/>
    </xf>
    <xf numFmtId="0" fontId="57" fillId="0" borderId="0" xfId="9" applyAlignment="1">
      <alignment horizontal="center" vertical="center"/>
    </xf>
    <xf numFmtId="0" fontId="62" fillId="0" borderId="35" xfId="14"/>
    <xf numFmtId="0" fontId="61" fillId="0" borderId="0" xfId="13" applyAlignment="1">
      <alignment horizontal="center" vertical="center" wrapText="1"/>
    </xf>
    <xf numFmtId="0" fontId="57" fillId="0" borderId="0" xfId="9" applyAlignment="1">
      <alignment horizontal="center"/>
    </xf>
    <xf numFmtId="180" fontId="63" fillId="25" borderId="36" xfId="15" applyNumberFormat="1">
      <alignment horizontal="center" vertical="center"/>
    </xf>
    <xf numFmtId="180" fontId="63" fillId="25" borderId="37" xfId="15" applyNumberFormat="1" applyBorder="1">
      <alignment horizontal="center" vertical="center"/>
    </xf>
    <xf numFmtId="180" fontId="63" fillId="25" borderId="38" xfId="15" applyNumberFormat="1" applyBorder="1">
      <alignment horizontal="center" vertical="center"/>
    </xf>
    <xf numFmtId="180" fontId="63" fillId="25" borderId="39" xfId="15" applyNumberFormat="1" applyBorder="1">
      <alignment horizontal="center" vertical="center"/>
    </xf>
    <xf numFmtId="0" fontId="57" fillId="0" borderId="0" xfId="9" applyAlignment="1">
      <alignment horizontal="left" vertical="center" indent="1"/>
    </xf>
    <xf numFmtId="0" fontId="57" fillId="0" borderId="0" xfId="9" applyAlignment="1">
      <alignment horizontal="center" vertical="center" wrapText="1"/>
    </xf>
    <xf numFmtId="0" fontId="64" fillId="26" borderId="0" xfId="9" applyFont="1" applyFill="1" applyAlignment="1">
      <alignment horizontal="center" vertical="center" wrapText="1"/>
    </xf>
    <xf numFmtId="0" fontId="63" fillId="25" borderId="40" xfId="9" applyFont="1" applyFill="1" applyBorder="1" applyAlignment="1">
      <alignment horizontal="center" vertical="center" shrinkToFit="1"/>
    </xf>
    <xf numFmtId="0" fontId="63" fillId="25" borderId="41" xfId="9" applyFont="1" applyFill="1" applyBorder="1" applyAlignment="1">
      <alignment horizontal="center" vertical="center" shrinkToFit="1"/>
    </xf>
    <xf numFmtId="0" fontId="63" fillId="25" borderId="42" xfId="9" applyFont="1" applyFill="1" applyBorder="1" applyAlignment="1">
      <alignment horizontal="center" vertical="center" shrinkToFit="1"/>
    </xf>
    <xf numFmtId="0" fontId="63" fillId="25" borderId="43" xfId="9" applyFont="1" applyFill="1" applyBorder="1" applyAlignment="1">
      <alignment horizontal="center" vertical="center" shrinkToFit="1"/>
    </xf>
    <xf numFmtId="0" fontId="55" fillId="0" borderId="0" xfId="7"/>
    <xf numFmtId="0" fontId="57" fillId="0" borderId="0" xfId="9" applyAlignment="1">
      <alignment horizontal="left" wrapText="1" indent="2"/>
    </xf>
    <xf numFmtId="14" fontId="0" fillId="0" borderId="0" xfId="12" applyFont="1" applyFill="1" applyBorder="1">
      <alignment horizontal="center" vertical="center"/>
    </xf>
    <xf numFmtId="37" fontId="0" fillId="0" borderId="0" xfId="16" applyFont="1" applyFill="1" applyBorder="1">
      <alignment horizontal="center" vertical="center"/>
    </xf>
    <xf numFmtId="0" fontId="57" fillId="0" borderId="44" xfId="9" applyBorder="1" applyAlignment="1">
      <alignment vertical="center"/>
    </xf>
    <xf numFmtId="0" fontId="57" fillId="0" borderId="0" xfId="9" applyAlignment="1">
      <alignment horizontal="left" wrapText="1" indent="1"/>
    </xf>
    <xf numFmtId="0" fontId="65" fillId="0" borderId="0" xfId="9" applyFont="1" applyAlignment="1">
      <alignment horizontal="center" vertical="center"/>
    </xf>
    <xf numFmtId="0" fontId="57" fillId="0" borderId="45" xfId="9" applyBorder="1" applyAlignment="1">
      <alignment horizontal="center" vertical="center"/>
    </xf>
    <xf numFmtId="0" fontId="57" fillId="0" borderId="0" xfId="9" applyAlignment="1">
      <alignment vertical="center"/>
    </xf>
    <xf numFmtId="0" fontId="57" fillId="7" borderId="0" xfId="9" applyFill="1"/>
    <xf numFmtId="0" fontId="57" fillId="7" borderId="0" xfId="9" applyFill="1" applyAlignment="1">
      <alignment horizontal="center"/>
    </xf>
    <xf numFmtId="0" fontId="65" fillId="7" borderId="46" xfId="9" applyFont="1" applyFill="1" applyBorder="1" applyAlignment="1">
      <alignment horizontal="center" vertical="center"/>
    </xf>
    <xf numFmtId="0" fontId="57" fillId="7" borderId="47" xfId="9" applyFill="1" applyBorder="1" applyAlignment="1">
      <alignment horizontal="center" vertical="center"/>
    </xf>
    <xf numFmtId="0" fontId="66" fillId="0" borderId="0" xfId="9" applyFont="1"/>
    <xf numFmtId="0" fontId="55" fillId="0" borderId="0" xfId="9" applyFont="1" applyAlignment="1">
      <alignment horizontal="center"/>
    </xf>
    <xf numFmtId="0" fontId="57" fillId="0" borderId="0" xfId="9" applyAlignment="1">
      <alignment horizontal="right" vertical="center"/>
    </xf>
    <xf numFmtId="0" fontId="68" fillId="0" borderId="0" xfId="17" applyFont="1" applyAlignment="1" applyProtection="1"/>
    <xf numFmtId="0" fontId="69" fillId="0" borderId="0" xfId="9" applyFont="1" applyAlignment="1">
      <alignment horizontal="center"/>
    </xf>
    <xf numFmtId="0" fontId="69" fillId="0" borderId="0" xfId="9" applyFont="1"/>
    <xf numFmtId="0" fontId="39" fillId="17" borderId="0" xfId="1" applyNumberFormat="1" applyFont="1" applyFill="1" applyBorder="1" applyAlignment="1">
      <alignment vertical="center"/>
    </xf>
    <xf numFmtId="0" fontId="23" fillId="0" borderId="48" xfId="4" applyFont="1" applyFill="1" applyBorder="1" applyAlignment="1" applyProtection="1">
      <alignment vertical="top"/>
      <protection locked="0"/>
    </xf>
    <xf numFmtId="0" fontId="23" fillId="0" borderId="48" xfId="4" quotePrefix="1" applyFont="1" applyFill="1" applyBorder="1" applyAlignment="1" applyProtection="1">
      <alignment horizontal="left" vertical="top"/>
      <protection locked="0"/>
    </xf>
    <xf numFmtId="0" fontId="23" fillId="0" borderId="48" xfId="4" applyFont="1" applyFill="1" applyBorder="1" applyAlignment="1" applyProtection="1">
      <alignment horizontal="left" vertical="top"/>
      <protection locked="0"/>
    </xf>
    <xf numFmtId="14" fontId="23" fillId="0" borderId="48" xfId="4" applyNumberFormat="1" applyFont="1" applyFill="1" applyBorder="1" applyAlignment="1" applyProtection="1">
      <alignment horizontal="center" vertical="top"/>
      <protection locked="0"/>
    </xf>
    <xf numFmtId="0" fontId="23" fillId="23" borderId="48" xfId="4" applyNumberFormat="1" applyFont="1" applyFill="1" applyBorder="1" applyAlignment="1" applyProtection="1">
      <alignment horizontal="center" vertical="top"/>
      <protection locked="0"/>
    </xf>
    <xf numFmtId="0" fontId="23" fillId="0" borderId="48" xfId="4" applyNumberFormat="1" applyFont="1" applyFill="1" applyBorder="1" applyAlignment="1" applyProtection="1">
      <alignment horizontal="left" vertical="top"/>
      <protection locked="0"/>
    </xf>
    <xf numFmtId="178" fontId="23" fillId="0" borderId="48" xfId="4" applyNumberFormat="1" applyFont="1" applyFill="1" applyBorder="1" applyAlignment="1" applyProtection="1">
      <alignment horizontal="center" vertical="top"/>
      <protection locked="0"/>
    </xf>
    <xf numFmtId="177" fontId="23" fillId="0" borderId="48" xfId="4" applyNumberFormat="1" applyFont="1" applyFill="1" applyBorder="1" applyAlignment="1" applyProtection="1">
      <alignment horizontal="center" vertical="top"/>
      <protection locked="0"/>
    </xf>
    <xf numFmtId="1" fontId="23" fillId="0" borderId="48" xfId="4" applyNumberFormat="1" applyFont="1" applyFill="1" applyBorder="1" applyAlignment="1" applyProtection="1">
      <alignment horizontal="center" vertical="top"/>
      <protection locked="0"/>
    </xf>
    <xf numFmtId="14" fontId="23" fillId="0" borderId="48" xfId="4" applyNumberFormat="1" applyFont="1" applyFill="1" applyBorder="1" applyAlignment="1" applyProtection="1">
      <alignment horizontal="left" vertical="top"/>
      <protection locked="0"/>
    </xf>
    <xf numFmtId="10" fontId="23" fillId="0" borderId="48" xfId="6" applyNumberFormat="1" applyFont="1" applyFill="1" applyBorder="1" applyAlignment="1" applyProtection="1">
      <alignment horizontal="right" vertical="top" wrapText="1"/>
      <protection locked="0"/>
    </xf>
    <xf numFmtId="10" fontId="49" fillId="21" borderId="48" xfId="6" applyNumberFormat="1" applyFont="1" applyFill="1" applyBorder="1" applyAlignment="1" applyProtection="1">
      <alignment horizontal="right" vertical="top"/>
      <protection locked="0"/>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4" fontId="57" fillId="24" borderId="31" xfId="12" applyFill="1" applyBorder="1">
      <alignment horizontal="center" vertical="center"/>
    </xf>
    <xf numFmtId="14" fontId="57" fillId="24" borderId="32" xfId="12" applyFill="1" applyBorder="1">
      <alignment horizontal="center" vertical="center"/>
    </xf>
    <xf numFmtId="0" fontId="35" fillId="19" borderId="20" xfId="1" applyFont="1" applyFill="1" applyBorder="1" applyAlignment="1">
      <alignment horizontal="left" vertical="center" wrapText="1"/>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10" fontId="23" fillId="27" borderId="30" xfId="6" applyNumberFormat="1" applyFont="1" applyFill="1" applyBorder="1" applyAlignment="1" applyProtection="1">
      <alignment horizontal="right" vertical="top"/>
      <protection locked="0"/>
    </xf>
  </cellXfs>
  <cellStyles count="18">
    <cellStyle name="z숨겨진텍스트" xfId="7" xr:uid="{C0BE14F5-73AD-45EB-BF85-0178FC181B41}"/>
    <cellStyle name="강조색5 2" xfId="1" xr:uid="{00000000-0005-0000-0000-000000000000}"/>
    <cellStyle name="날짜" xfId="12" xr:uid="{1ABC0672-5475-4411-B564-894DF8D10B17}"/>
    <cellStyle name="백분율" xfId="6" builtinId="5"/>
    <cellStyle name="백분율 2" xfId="3" xr:uid="{00000000-0005-0000-0000-000002000000}"/>
    <cellStyle name="설명 텍스트 2" xfId="13" xr:uid="{E9F74552-6275-472F-A2C4-A39EF0F98339}"/>
    <cellStyle name="쉼표 [0] 2" xfId="16" xr:uid="{0EBE5C21-739F-4084-8DBA-DA2DCC57406A}"/>
    <cellStyle name="제목 1 2" xfId="10" xr:uid="{6DF381D2-A9A1-48CC-841C-0A41014FCA10}"/>
    <cellStyle name="제목 2 2" xfId="14" xr:uid="{C56E5779-222A-44F1-999C-99896465A6E9}"/>
    <cellStyle name="제목 3 2" xfId="11" xr:uid="{7A10F895-2F7B-4EAA-A5B1-876AFBF6B677}"/>
    <cellStyle name="제목 4 2" xfId="15" xr:uid="{C892E80E-3050-40D2-AB54-701D2BFC7E7D}"/>
    <cellStyle name="제목 5" xfId="8" xr:uid="{8D681887-4237-4298-BF5E-96069F4080A0}"/>
    <cellStyle name="표준" xfId="0" builtinId="0"/>
    <cellStyle name="표준 2" xfId="4" xr:uid="{00000000-0005-0000-0000-000004000000}"/>
    <cellStyle name="표준 2 2" xfId="5" xr:uid="{00000000-0005-0000-0000-000005000000}"/>
    <cellStyle name="표준 3" xfId="9" xr:uid="{1BEFB18C-9902-4607-A686-647C54BFAFDB}"/>
    <cellStyle name="하이퍼링크" xfId="2" builtinId="8"/>
    <cellStyle name="하이퍼링크 2" xfId="17" xr:uid="{E31FCF78-A7A6-468B-9589-B2FAC23CFBA9}"/>
  </cellStyles>
  <dxfs count="1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8" tint="-0.499984740745262"/>
      </font>
      <fill>
        <patternFill>
          <bgColor theme="0" tint="-4.9989318521683403E-2"/>
        </patternFill>
      </fill>
      <border>
        <right/>
      </border>
    </dxf>
    <dxf>
      <fill>
        <patternFill>
          <bgColor theme="8" tint="-0.499984740745262"/>
        </patternFill>
      </fill>
      <border>
        <left style="thin">
          <color theme="8" tint="-0.499984740745262"/>
        </left>
        <right style="thin">
          <color theme="8" tint="-0.499984740745262"/>
        </right>
        <top style="thin">
          <color theme="0"/>
        </top>
        <bottom style="thin">
          <color theme="0"/>
        </bottom>
      </border>
    </dxf>
    <dxf>
      <fill>
        <patternFill>
          <bgColor theme="0" tint="-4.9989318521683403E-2"/>
        </patternFill>
      </fill>
      <border>
        <left/>
        <right/>
        <top/>
        <bottom/>
        <vertical/>
        <horizontal/>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numFmt numFmtId="5" formatCode="#,##0;\-#,##0"/>
    </dxf>
    <dxf>
      <font>
        <b val="0"/>
        <i val="0"/>
        <strike val="0"/>
        <condense val="0"/>
        <extend val="0"/>
        <outline val="0"/>
        <shadow val="0"/>
        <u val="none"/>
        <vertAlign val="baseline"/>
        <sz val="11"/>
        <color theme="8" tint="-0.499984740745262"/>
        <name val="맑은 고딕"/>
        <family val="2"/>
        <scheme val="minor"/>
      </font>
      <fill>
        <patternFill patternType="none">
          <fgColor indexed="64"/>
          <bgColor indexed="65"/>
        </patternFill>
      </fill>
      <alignment horizontal="left" vertical="bottom" textRotation="0" wrapText="1" indent="2" justifyLastLine="0" shrinkToFit="0" readingOrder="0"/>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테이블 스타일" pivot="0" count="3" xr9:uid="{65540DBF-E33F-45B4-886F-1C33B1AE6469}">
      <tableStyleElement type="wholeTable" dxfId="14"/>
      <tableStyleElement type="headerRow" dxfId="13"/>
      <tableStyleElement type="firstRowStripe" dxfId="12"/>
    </tableStyle>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Scroll" dx="39" fmlaLink="$E$3" horiz="1" max="365" page="0" val="10"/>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xdr:row>
      <xdr:rowOff>76073</xdr:rowOff>
    </xdr:from>
    <xdr:to>
      <xdr:col>33</xdr:col>
      <xdr:colOff>20410</xdr:colOff>
      <xdr:row>34</xdr:row>
      <xdr:rowOff>0</xdr:rowOff>
    </xdr:to>
    <xdr:cxnSp macro="">
      <xdr:nvCxnSpPr>
        <xdr:cNvPr id="14007" name="직선 화살표 연결선 14006">
          <a:extLst>
            <a:ext uri="{FF2B5EF4-FFF2-40B4-BE49-F238E27FC236}">
              <a16:creationId xmlns:a16="http://schemas.microsoft.com/office/drawing/2014/main" id="{37F33954-3BB8-4071-972B-9E6F67A63FFC}"/>
            </a:ext>
          </a:extLst>
        </xdr:cNvPr>
        <xdr:cNvCxnSpPr/>
      </xdr:nvCxnSpPr>
      <xdr:spPr>
        <a:xfrm>
          <a:off x="11650435" y="752348"/>
          <a:ext cx="0" cy="4572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33</xdr:row>
      <xdr:rowOff>19050</xdr:rowOff>
    </xdr:from>
    <xdr:to>
      <xdr:col>36</xdr:col>
      <xdr:colOff>123734</xdr:colOff>
      <xdr:row>33</xdr:row>
      <xdr:rowOff>133350</xdr:rowOff>
    </xdr:to>
    <xdr:sp macro="" textlink="">
      <xdr:nvSpPr>
        <xdr:cNvPr id="14009" name="30">
          <a:extLst>
            <a:ext uri="{FF2B5EF4-FFF2-40B4-BE49-F238E27FC236}">
              <a16:creationId xmlns:a16="http://schemas.microsoft.com/office/drawing/2014/main" id="{81B8829B-7651-420A-84AA-5AB801CC6909}"/>
            </a:ext>
          </a:extLst>
        </xdr:cNvPr>
        <xdr:cNvSpPr/>
      </xdr:nvSpPr>
      <xdr:spPr>
        <a:xfrm>
          <a:off x="12099472" y="5191125"/>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40822</xdr:colOff>
      <xdr:row>33</xdr:row>
      <xdr:rowOff>76200</xdr:rowOff>
    </xdr:from>
    <xdr:to>
      <xdr:col>36</xdr:col>
      <xdr:colOff>40822</xdr:colOff>
      <xdr:row>33</xdr:row>
      <xdr:rowOff>76200</xdr:rowOff>
    </xdr:to>
    <xdr:cxnSp macro="">
      <xdr:nvCxnSpPr>
        <xdr:cNvPr id="14010" name="직선 화살표 연결선 14009">
          <a:extLst>
            <a:ext uri="{FF2B5EF4-FFF2-40B4-BE49-F238E27FC236}">
              <a16:creationId xmlns:a16="http://schemas.microsoft.com/office/drawing/2014/main" id="{0CCC30FD-022E-430D-A70F-F874121B0044}"/>
            </a:ext>
          </a:extLst>
        </xdr:cNvPr>
        <xdr:cNvCxnSpPr/>
      </xdr:nvCxnSpPr>
      <xdr:spPr>
        <a:xfrm>
          <a:off x="12099472"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32</xdr:row>
      <xdr:rowOff>19050</xdr:rowOff>
    </xdr:from>
    <xdr:to>
      <xdr:col>36</xdr:col>
      <xdr:colOff>42091</xdr:colOff>
      <xdr:row>32</xdr:row>
      <xdr:rowOff>133350</xdr:rowOff>
    </xdr:to>
    <xdr:sp macro="" textlink="">
      <xdr:nvSpPr>
        <xdr:cNvPr id="14011" name="29">
          <a:extLst>
            <a:ext uri="{FF2B5EF4-FFF2-40B4-BE49-F238E27FC236}">
              <a16:creationId xmlns:a16="http://schemas.microsoft.com/office/drawing/2014/main" id="{B61E8687-B8BE-40C2-B516-1017BC30A256}"/>
            </a:ext>
          </a:extLst>
        </xdr:cNvPr>
        <xdr:cNvSpPr/>
      </xdr:nvSpPr>
      <xdr:spPr>
        <a:xfrm>
          <a:off x="12038240" y="5038725"/>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32</xdr:row>
      <xdr:rowOff>76200</xdr:rowOff>
    </xdr:from>
    <xdr:to>
      <xdr:col>35</xdr:col>
      <xdr:colOff>122465</xdr:colOff>
      <xdr:row>32</xdr:row>
      <xdr:rowOff>76200</xdr:rowOff>
    </xdr:to>
    <xdr:cxnSp macro="">
      <xdr:nvCxnSpPr>
        <xdr:cNvPr id="14012" name="직선 화살표 연결선 14011">
          <a:extLst>
            <a:ext uri="{FF2B5EF4-FFF2-40B4-BE49-F238E27FC236}">
              <a16:creationId xmlns:a16="http://schemas.microsoft.com/office/drawing/2014/main" id="{343BAB50-B961-4ED1-B6D7-3870AA9211A0}"/>
            </a:ext>
          </a:extLst>
        </xdr:cNvPr>
        <xdr:cNvCxnSpPr/>
      </xdr:nvCxnSpPr>
      <xdr:spPr>
        <a:xfrm>
          <a:off x="12038240"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31</xdr:row>
      <xdr:rowOff>19050</xdr:rowOff>
    </xdr:from>
    <xdr:to>
      <xdr:col>35</xdr:col>
      <xdr:colOff>123734</xdr:colOff>
      <xdr:row>31</xdr:row>
      <xdr:rowOff>133350</xdr:rowOff>
    </xdr:to>
    <xdr:sp macro="" textlink="">
      <xdr:nvSpPr>
        <xdr:cNvPr id="14013" name="28">
          <a:extLst>
            <a:ext uri="{FF2B5EF4-FFF2-40B4-BE49-F238E27FC236}">
              <a16:creationId xmlns:a16="http://schemas.microsoft.com/office/drawing/2014/main" id="{42B9696B-AF78-4D08-BD99-92558FD67E7C}"/>
            </a:ext>
          </a:extLst>
        </xdr:cNvPr>
        <xdr:cNvSpPr/>
      </xdr:nvSpPr>
      <xdr:spPr>
        <a:xfrm>
          <a:off x="11997418" y="4886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31</xdr:row>
      <xdr:rowOff>76200</xdr:rowOff>
    </xdr:from>
    <xdr:to>
      <xdr:col>35</xdr:col>
      <xdr:colOff>81643</xdr:colOff>
      <xdr:row>31</xdr:row>
      <xdr:rowOff>76200</xdr:rowOff>
    </xdr:to>
    <xdr:cxnSp macro="">
      <xdr:nvCxnSpPr>
        <xdr:cNvPr id="14014" name="직선 화살표 연결선 14013">
          <a:extLst>
            <a:ext uri="{FF2B5EF4-FFF2-40B4-BE49-F238E27FC236}">
              <a16:creationId xmlns:a16="http://schemas.microsoft.com/office/drawing/2014/main" id="{5D1AB866-25E1-4802-AE3D-846D5569FAEE}"/>
            </a:ext>
          </a:extLst>
        </xdr:cNvPr>
        <xdr:cNvCxnSpPr/>
      </xdr:nvCxnSpPr>
      <xdr:spPr>
        <a:xfrm>
          <a:off x="11997418"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30</xdr:row>
      <xdr:rowOff>19050</xdr:rowOff>
    </xdr:from>
    <xdr:to>
      <xdr:col>35</xdr:col>
      <xdr:colOff>103323</xdr:colOff>
      <xdr:row>30</xdr:row>
      <xdr:rowOff>133350</xdr:rowOff>
    </xdr:to>
    <xdr:sp macro="" textlink="">
      <xdr:nvSpPr>
        <xdr:cNvPr id="14015" name="27">
          <a:extLst>
            <a:ext uri="{FF2B5EF4-FFF2-40B4-BE49-F238E27FC236}">
              <a16:creationId xmlns:a16="http://schemas.microsoft.com/office/drawing/2014/main" id="{8C57169B-A145-482F-B4B9-D5A16E625D9B}"/>
            </a:ext>
          </a:extLst>
        </xdr:cNvPr>
        <xdr:cNvSpPr/>
      </xdr:nvSpPr>
      <xdr:spPr>
        <a:xfrm>
          <a:off x="11997418" y="47339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30</xdr:row>
      <xdr:rowOff>76200</xdr:rowOff>
    </xdr:from>
    <xdr:to>
      <xdr:col>35</xdr:col>
      <xdr:colOff>81643</xdr:colOff>
      <xdr:row>30</xdr:row>
      <xdr:rowOff>76200</xdr:rowOff>
    </xdr:to>
    <xdr:cxnSp macro="">
      <xdr:nvCxnSpPr>
        <xdr:cNvPr id="22976" name="직선 화살표 연결선 22975">
          <a:extLst>
            <a:ext uri="{FF2B5EF4-FFF2-40B4-BE49-F238E27FC236}">
              <a16:creationId xmlns:a16="http://schemas.microsoft.com/office/drawing/2014/main" id="{3BE42F70-A88B-48AF-A55F-097C275413B6}"/>
            </a:ext>
          </a:extLst>
        </xdr:cNvPr>
        <xdr:cNvCxnSpPr/>
      </xdr:nvCxnSpPr>
      <xdr:spPr>
        <a:xfrm>
          <a:off x="11997418"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29</xdr:row>
      <xdr:rowOff>19050</xdr:rowOff>
    </xdr:from>
    <xdr:to>
      <xdr:col>36</xdr:col>
      <xdr:colOff>42091</xdr:colOff>
      <xdr:row>29</xdr:row>
      <xdr:rowOff>133350</xdr:rowOff>
    </xdr:to>
    <xdr:sp macro="" textlink="">
      <xdr:nvSpPr>
        <xdr:cNvPr id="22977" name="26">
          <a:extLst>
            <a:ext uri="{FF2B5EF4-FFF2-40B4-BE49-F238E27FC236}">
              <a16:creationId xmlns:a16="http://schemas.microsoft.com/office/drawing/2014/main" id="{00843364-7B6C-4334-A458-75DFBE6ACB76}"/>
            </a:ext>
          </a:extLst>
        </xdr:cNvPr>
        <xdr:cNvSpPr/>
      </xdr:nvSpPr>
      <xdr:spPr>
        <a:xfrm>
          <a:off x="11997418" y="45815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29</xdr:row>
      <xdr:rowOff>76200</xdr:rowOff>
    </xdr:from>
    <xdr:to>
      <xdr:col>35</xdr:col>
      <xdr:colOff>81643</xdr:colOff>
      <xdr:row>29</xdr:row>
      <xdr:rowOff>76200</xdr:rowOff>
    </xdr:to>
    <xdr:cxnSp macro="">
      <xdr:nvCxnSpPr>
        <xdr:cNvPr id="22978" name="직선 화살표 연결선 22977">
          <a:extLst>
            <a:ext uri="{FF2B5EF4-FFF2-40B4-BE49-F238E27FC236}">
              <a16:creationId xmlns:a16="http://schemas.microsoft.com/office/drawing/2014/main" id="{C1D30CED-40D9-4AB9-AE1C-BDDCACCE7E05}"/>
            </a:ext>
          </a:extLst>
        </xdr:cNvPr>
        <xdr:cNvCxnSpPr/>
      </xdr:nvCxnSpPr>
      <xdr:spPr>
        <a:xfrm>
          <a:off x="11997418"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28</xdr:row>
      <xdr:rowOff>19050</xdr:rowOff>
    </xdr:from>
    <xdr:to>
      <xdr:col>35</xdr:col>
      <xdr:colOff>82913</xdr:colOff>
      <xdr:row>28</xdr:row>
      <xdr:rowOff>133350</xdr:rowOff>
    </xdr:to>
    <xdr:sp macro="" textlink="">
      <xdr:nvSpPr>
        <xdr:cNvPr id="22979" name="25">
          <a:extLst>
            <a:ext uri="{FF2B5EF4-FFF2-40B4-BE49-F238E27FC236}">
              <a16:creationId xmlns:a16="http://schemas.microsoft.com/office/drawing/2014/main" id="{20B2C777-99F6-4204-8FF9-693C917F6588}"/>
            </a:ext>
          </a:extLst>
        </xdr:cNvPr>
        <xdr:cNvSpPr/>
      </xdr:nvSpPr>
      <xdr:spPr>
        <a:xfrm>
          <a:off x="11936185" y="44291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28</xdr:row>
      <xdr:rowOff>76200</xdr:rowOff>
    </xdr:from>
    <xdr:to>
      <xdr:col>35</xdr:col>
      <xdr:colOff>20410</xdr:colOff>
      <xdr:row>28</xdr:row>
      <xdr:rowOff>76200</xdr:rowOff>
    </xdr:to>
    <xdr:cxnSp macro="">
      <xdr:nvCxnSpPr>
        <xdr:cNvPr id="22980" name="직선 화살표 연결선 22979">
          <a:extLst>
            <a:ext uri="{FF2B5EF4-FFF2-40B4-BE49-F238E27FC236}">
              <a16:creationId xmlns:a16="http://schemas.microsoft.com/office/drawing/2014/main" id="{BD267AAD-A7B3-48FF-884F-061AC0876FDB}"/>
            </a:ext>
          </a:extLst>
        </xdr:cNvPr>
        <xdr:cNvCxnSpPr/>
      </xdr:nvCxnSpPr>
      <xdr:spPr>
        <a:xfrm>
          <a:off x="11936185"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27</xdr:row>
      <xdr:rowOff>19050</xdr:rowOff>
    </xdr:from>
    <xdr:to>
      <xdr:col>35</xdr:col>
      <xdr:colOff>82913</xdr:colOff>
      <xdr:row>27</xdr:row>
      <xdr:rowOff>133350</xdr:rowOff>
    </xdr:to>
    <xdr:sp macro="" textlink="">
      <xdr:nvSpPr>
        <xdr:cNvPr id="22981" name="24">
          <a:extLst>
            <a:ext uri="{FF2B5EF4-FFF2-40B4-BE49-F238E27FC236}">
              <a16:creationId xmlns:a16="http://schemas.microsoft.com/office/drawing/2014/main" id="{F9BEA81E-0BA0-4AFC-B1C4-3F4A2BC6C505}"/>
            </a:ext>
          </a:extLst>
        </xdr:cNvPr>
        <xdr:cNvSpPr/>
      </xdr:nvSpPr>
      <xdr:spPr>
        <a:xfrm>
          <a:off x="11936185" y="4276725"/>
          <a:ext cx="625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27</xdr:row>
      <xdr:rowOff>76200</xdr:rowOff>
    </xdr:from>
    <xdr:to>
      <xdr:col>35</xdr:col>
      <xdr:colOff>20410</xdr:colOff>
      <xdr:row>27</xdr:row>
      <xdr:rowOff>76200</xdr:rowOff>
    </xdr:to>
    <xdr:cxnSp macro="">
      <xdr:nvCxnSpPr>
        <xdr:cNvPr id="22982" name="직선 화살표 연결선 22981">
          <a:extLst>
            <a:ext uri="{FF2B5EF4-FFF2-40B4-BE49-F238E27FC236}">
              <a16:creationId xmlns:a16="http://schemas.microsoft.com/office/drawing/2014/main" id="{9BA3DF29-9AF0-414C-9D49-8022467CFBDB}"/>
            </a:ext>
          </a:extLst>
        </xdr:cNvPr>
        <xdr:cNvCxnSpPr/>
      </xdr:nvCxnSpPr>
      <xdr:spPr>
        <a:xfrm>
          <a:off x="11936185"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26</xdr:row>
      <xdr:rowOff>19050</xdr:rowOff>
    </xdr:from>
    <xdr:to>
      <xdr:col>35</xdr:col>
      <xdr:colOff>21680</xdr:colOff>
      <xdr:row>26</xdr:row>
      <xdr:rowOff>133350</xdr:rowOff>
    </xdr:to>
    <xdr:sp macro="" textlink="">
      <xdr:nvSpPr>
        <xdr:cNvPr id="22983" name="23">
          <a:extLst>
            <a:ext uri="{FF2B5EF4-FFF2-40B4-BE49-F238E27FC236}">
              <a16:creationId xmlns:a16="http://schemas.microsoft.com/office/drawing/2014/main" id="{F41FA238-BEC3-4DE3-890E-B651844BDDE2}"/>
            </a:ext>
          </a:extLst>
        </xdr:cNvPr>
        <xdr:cNvSpPr/>
      </xdr:nvSpPr>
      <xdr:spPr>
        <a:xfrm>
          <a:off x="11874953" y="4124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26</xdr:row>
      <xdr:rowOff>76200</xdr:rowOff>
    </xdr:from>
    <xdr:to>
      <xdr:col>34</xdr:col>
      <xdr:colOff>102053</xdr:colOff>
      <xdr:row>26</xdr:row>
      <xdr:rowOff>76200</xdr:rowOff>
    </xdr:to>
    <xdr:cxnSp macro="">
      <xdr:nvCxnSpPr>
        <xdr:cNvPr id="22984" name="직선 화살표 연결선 22983">
          <a:extLst>
            <a:ext uri="{FF2B5EF4-FFF2-40B4-BE49-F238E27FC236}">
              <a16:creationId xmlns:a16="http://schemas.microsoft.com/office/drawing/2014/main" id="{0086B6E7-0C99-4D96-B715-E5BA9D0786D5}"/>
            </a:ext>
          </a:extLst>
        </xdr:cNvPr>
        <xdr:cNvCxnSpPr/>
      </xdr:nvCxnSpPr>
      <xdr:spPr>
        <a:xfrm>
          <a:off x="11874953"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25</xdr:row>
      <xdr:rowOff>19050</xdr:rowOff>
    </xdr:from>
    <xdr:to>
      <xdr:col>34</xdr:col>
      <xdr:colOff>103323</xdr:colOff>
      <xdr:row>25</xdr:row>
      <xdr:rowOff>133350</xdr:rowOff>
    </xdr:to>
    <xdr:sp macro="" textlink="">
      <xdr:nvSpPr>
        <xdr:cNvPr id="22985" name="22">
          <a:extLst>
            <a:ext uri="{FF2B5EF4-FFF2-40B4-BE49-F238E27FC236}">
              <a16:creationId xmlns:a16="http://schemas.microsoft.com/office/drawing/2014/main" id="{30DC4A72-E40B-4EB2-BB1A-C420C35666F4}"/>
            </a:ext>
          </a:extLst>
        </xdr:cNvPr>
        <xdr:cNvSpPr/>
      </xdr:nvSpPr>
      <xdr:spPr>
        <a:xfrm>
          <a:off x="11813722" y="3971925"/>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25</xdr:row>
      <xdr:rowOff>76200</xdr:rowOff>
    </xdr:from>
    <xdr:to>
      <xdr:col>34</xdr:col>
      <xdr:colOff>40822</xdr:colOff>
      <xdr:row>25</xdr:row>
      <xdr:rowOff>76200</xdr:rowOff>
    </xdr:to>
    <xdr:cxnSp macro="">
      <xdr:nvCxnSpPr>
        <xdr:cNvPr id="22986" name="직선 화살표 연결선 22985">
          <a:extLst>
            <a:ext uri="{FF2B5EF4-FFF2-40B4-BE49-F238E27FC236}">
              <a16:creationId xmlns:a16="http://schemas.microsoft.com/office/drawing/2014/main" id="{045C9276-BDD7-4C18-A08B-4B8C3899DB19}"/>
            </a:ext>
          </a:extLst>
        </xdr:cNvPr>
        <xdr:cNvCxnSpPr/>
      </xdr:nvCxnSpPr>
      <xdr:spPr>
        <a:xfrm>
          <a:off x="11813722"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24</xdr:row>
      <xdr:rowOff>19050</xdr:rowOff>
    </xdr:from>
    <xdr:to>
      <xdr:col>34</xdr:col>
      <xdr:colOff>42091</xdr:colOff>
      <xdr:row>24</xdr:row>
      <xdr:rowOff>133350</xdr:rowOff>
    </xdr:to>
    <xdr:sp macro="" textlink="">
      <xdr:nvSpPr>
        <xdr:cNvPr id="22987" name="21">
          <a:extLst>
            <a:ext uri="{FF2B5EF4-FFF2-40B4-BE49-F238E27FC236}">
              <a16:creationId xmlns:a16="http://schemas.microsoft.com/office/drawing/2014/main" id="{FBB50276-BD9A-44B3-B159-FFCF0D0FEEEF}"/>
            </a:ext>
          </a:extLst>
        </xdr:cNvPr>
        <xdr:cNvSpPr/>
      </xdr:nvSpPr>
      <xdr:spPr>
        <a:xfrm>
          <a:off x="11772900" y="3819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24</xdr:row>
      <xdr:rowOff>76200</xdr:rowOff>
    </xdr:from>
    <xdr:to>
      <xdr:col>34</xdr:col>
      <xdr:colOff>0</xdr:colOff>
      <xdr:row>24</xdr:row>
      <xdr:rowOff>76200</xdr:rowOff>
    </xdr:to>
    <xdr:cxnSp macro="">
      <xdr:nvCxnSpPr>
        <xdr:cNvPr id="22988" name="직선 화살표 연결선 22987">
          <a:extLst>
            <a:ext uri="{FF2B5EF4-FFF2-40B4-BE49-F238E27FC236}">
              <a16:creationId xmlns:a16="http://schemas.microsoft.com/office/drawing/2014/main" id="{32A9688B-D822-4BBA-A9D3-353F7ECDA99A}"/>
            </a:ext>
          </a:extLst>
        </xdr:cNvPr>
        <xdr:cNvCxnSpPr/>
      </xdr:nvCxnSpPr>
      <xdr:spPr>
        <a:xfrm>
          <a:off x="11772900"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23</xdr:row>
      <xdr:rowOff>19050</xdr:rowOff>
    </xdr:from>
    <xdr:to>
      <xdr:col>34</xdr:col>
      <xdr:colOff>21680</xdr:colOff>
      <xdr:row>23</xdr:row>
      <xdr:rowOff>133350</xdr:rowOff>
    </xdr:to>
    <xdr:sp macro="" textlink="">
      <xdr:nvSpPr>
        <xdr:cNvPr id="22989" name="20">
          <a:extLst>
            <a:ext uri="{FF2B5EF4-FFF2-40B4-BE49-F238E27FC236}">
              <a16:creationId xmlns:a16="http://schemas.microsoft.com/office/drawing/2014/main" id="{6C58094B-3868-4C6B-A8F1-936CFD988724}"/>
            </a:ext>
          </a:extLst>
        </xdr:cNvPr>
        <xdr:cNvSpPr/>
      </xdr:nvSpPr>
      <xdr:spPr>
        <a:xfrm>
          <a:off x="11772900" y="36671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23</xdr:row>
      <xdr:rowOff>76200</xdr:rowOff>
    </xdr:from>
    <xdr:to>
      <xdr:col>34</xdr:col>
      <xdr:colOff>0</xdr:colOff>
      <xdr:row>23</xdr:row>
      <xdr:rowOff>76200</xdr:rowOff>
    </xdr:to>
    <xdr:cxnSp macro="">
      <xdr:nvCxnSpPr>
        <xdr:cNvPr id="22990" name="직선 화살표 연결선 22989">
          <a:extLst>
            <a:ext uri="{FF2B5EF4-FFF2-40B4-BE49-F238E27FC236}">
              <a16:creationId xmlns:a16="http://schemas.microsoft.com/office/drawing/2014/main" id="{5933E677-5ECC-486C-B289-02D71C69B786}"/>
            </a:ext>
          </a:extLst>
        </xdr:cNvPr>
        <xdr:cNvCxnSpPr/>
      </xdr:nvCxnSpPr>
      <xdr:spPr>
        <a:xfrm>
          <a:off x="11772900"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22</xdr:row>
      <xdr:rowOff>19050</xdr:rowOff>
    </xdr:from>
    <xdr:to>
      <xdr:col>35</xdr:col>
      <xdr:colOff>82913</xdr:colOff>
      <xdr:row>22</xdr:row>
      <xdr:rowOff>133350</xdr:rowOff>
    </xdr:to>
    <xdr:sp macro="" textlink="">
      <xdr:nvSpPr>
        <xdr:cNvPr id="22991" name="19">
          <a:extLst>
            <a:ext uri="{FF2B5EF4-FFF2-40B4-BE49-F238E27FC236}">
              <a16:creationId xmlns:a16="http://schemas.microsoft.com/office/drawing/2014/main" id="{DB095018-4E97-4164-B60E-02D831F2AFB4}"/>
            </a:ext>
          </a:extLst>
        </xdr:cNvPr>
        <xdr:cNvSpPr/>
      </xdr:nvSpPr>
      <xdr:spPr>
        <a:xfrm>
          <a:off x="11772900" y="35147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22</xdr:row>
      <xdr:rowOff>76200</xdr:rowOff>
    </xdr:from>
    <xdr:to>
      <xdr:col>34</xdr:col>
      <xdr:colOff>0</xdr:colOff>
      <xdr:row>22</xdr:row>
      <xdr:rowOff>76200</xdr:rowOff>
    </xdr:to>
    <xdr:cxnSp macro="">
      <xdr:nvCxnSpPr>
        <xdr:cNvPr id="22992" name="직선 화살표 연결선 22991">
          <a:extLst>
            <a:ext uri="{FF2B5EF4-FFF2-40B4-BE49-F238E27FC236}">
              <a16:creationId xmlns:a16="http://schemas.microsoft.com/office/drawing/2014/main" id="{54C95A86-958D-44A5-8057-CF91C810B68A}"/>
            </a:ext>
          </a:extLst>
        </xdr:cNvPr>
        <xdr:cNvCxnSpPr/>
      </xdr:nvCxnSpPr>
      <xdr:spPr>
        <a:xfrm>
          <a:off x="11772900"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21</xdr:row>
      <xdr:rowOff>19050</xdr:rowOff>
    </xdr:from>
    <xdr:to>
      <xdr:col>34</xdr:col>
      <xdr:colOff>21680</xdr:colOff>
      <xdr:row>21</xdr:row>
      <xdr:rowOff>133350</xdr:rowOff>
    </xdr:to>
    <xdr:sp macro="" textlink="">
      <xdr:nvSpPr>
        <xdr:cNvPr id="22993" name="18">
          <a:extLst>
            <a:ext uri="{FF2B5EF4-FFF2-40B4-BE49-F238E27FC236}">
              <a16:creationId xmlns:a16="http://schemas.microsoft.com/office/drawing/2014/main" id="{B9FC8386-E4DB-498D-B152-A64E6E572AED}"/>
            </a:ext>
          </a:extLst>
        </xdr:cNvPr>
        <xdr:cNvSpPr/>
      </xdr:nvSpPr>
      <xdr:spPr>
        <a:xfrm>
          <a:off x="11772900" y="33623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21</xdr:row>
      <xdr:rowOff>76200</xdr:rowOff>
    </xdr:from>
    <xdr:to>
      <xdr:col>34</xdr:col>
      <xdr:colOff>0</xdr:colOff>
      <xdr:row>21</xdr:row>
      <xdr:rowOff>76200</xdr:rowOff>
    </xdr:to>
    <xdr:cxnSp macro="">
      <xdr:nvCxnSpPr>
        <xdr:cNvPr id="22994" name="직선 화살표 연결선 22993">
          <a:extLst>
            <a:ext uri="{FF2B5EF4-FFF2-40B4-BE49-F238E27FC236}">
              <a16:creationId xmlns:a16="http://schemas.microsoft.com/office/drawing/2014/main" id="{D5C6FBC3-D8A2-4554-B618-E0CD27FD475D}"/>
            </a:ext>
          </a:extLst>
        </xdr:cNvPr>
        <xdr:cNvCxnSpPr/>
      </xdr:nvCxnSpPr>
      <xdr:spPr>
        <a:xfrm>
          <a:off x="11772900"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20</xdr:row>
      <xdr:rowOff>19050</xdr:rowOff>
    </xdr:from>
    <xdr:to>
      <xdr:col>34</xdr:col>
      <xdr:colOff>21680</xdr:colOff>
      <xdr:row>20</xdr:row>
      <xdr:rowOff>133350</xdr:rowOff>
    </xdr:to>
    <xdr:sp macro="" textlink="">
      <xdr:nvSpPr>
        <xdr:cNvPr id="22995" name="17">
          <a:extLst>
            <a:ext uri="{FF2B5EF4-FFF2-40B4-BE49-F238E27FC236}">
              <a16:creationId xmlns:a16="http://schemas.microsoft.com/office/drawing/2014/main" id="{9D725A56-A7FC-40A0-8AB4-F6D965118C3E}"/>
            </a:ext>
          </a:extLst>
        </xdr:cNvPr>
        <xdr:cNvSpPr/>
      </xdr:nvSpPr>
      <xdr:spPr>
        <a:xfrm>
          <a:off x="11772900" y="32099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20</xdr:row>
      <xdr:rowOff>76200</xdr:rowOff>
    </xdr:from>
    <xdr:to>
      <xdr:col>34</xdr:col>
      <xdr:colOff>0</xdr:colOff>
      <xdr:row>20</xdr:row>
      <xdr:rowOff>76200</xdr:rowOff>
    </xdr:to>
    <xdr:cxnSp macro="">
      <xdr:nvCxnSpPr>
        <xdr:cNvPr id="22996" name="직선 화살표 연결선 22995">
          <a:extLst>
            <a:ext uri="{FF2B5EF4-FFF2-40B4-BE49-F238E27FC236}">
              <a16:creationId xmlns:a16="http://schemas.microsoft.com/office/drawing/2014/main" id="{E5A23488-637C-4886-8E58-E1E6B85FCF3F}"/>
            </a:ext>
          </a:extLst>
        </xdr:cNvPr>
        <xdr:cNvCxnSpPr/>
      </xdr:nvCxnSpPr>
      <xdr:spPr>
        <a:xfrm>
          <a:off x="11772900"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19</xdr:row>
      <xdr:rowOff>19050</xdr:rowOff>
    </xdr:from>
    <xdr:to>
      <xdr:col>34</xdr:col>
      <xdr:colOff>127000</xdr:colOff>
      <xdr:row>19</xdr:row>
      <xdr:rowOff>146050</xdr:rowOff>
    </xdr:to>
    <xdr:sp macro="" textlink="">
      <xdr:nvSpPr>
        <xdr:cNvPr id="22997" name="다이아몬드 22996">
          <a:extLst>
            <a:ext uri="{FF2B5EF4-FFF2-40B4-BE49-F238E27FC236}">
              <a16:creationId xmlns:a16="http://schemas.microsoft.com/office/drawing/2014/main" id="{7A408886-EB80-434D-A538-7EBB0715A055}"/>
            </a:ext>
          </a:extLst>
        </xdr:cNvPr>
        <xdr:cNvSpPr/>
      </xdr:nvSpPr>
      <xdr:spPr>
        <a:xfrm>
          <a:off x="11772900" y="3057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18</xdr:row>
      <xdr:rowOff>19050</xdr:rowOff>
    </xdr:from>
    <xdr:to>
      <xdr:col>34</xdr:col>
      <xdr:colOff>21680</xdr:colOff>
      <xdr:row>18</xdr:row>
      <xdr:rowOff>133350</xdr:rowOff>
    </xdr:to>
    <xdr:sp macro="" textlink="">
      <xdr:nvSpPr>
        <xdr:cNvPr id="22998" name="15">
          <a:extLst>
            <a:ext uri="{FF2B5EF4-FFF2-40B4-BE49-F238E27FC236}">
              <a16:creationId xmlns:a16="http://schemas.microsoft.com/office/drawing/2014/main" id="{8D9B552B-9342-4844-B46E-1089832B23FA}"/>
            </a:ext>
          </a:extLst>
        </xdr:cNvPr>
        <xdr:cNvSpPr/>
      </xdr:nvSpPr>
      <xdr:spPr>
        <a:xfrm>
          <a:off x="11772900" y="2905125"/>
          <a:ext cx="216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18</xdr:row>
      <xdr:rowOff>76200</xdr:rowOff>
    </xdr:from>
    <xdr:to>
      <xdr:col>34</xdr:col>
      <xdr:colOff>0</xdr:colOff>
      <xdr:row>18</xdr:row>
      <xdr:rowOff>76200</xdr:rowOff>
    </xdr:to>
    <xdr:cxnSp macro="">
      <xdr:nvCxnSpPr>
        <xdr:cNvPr id="22999" name="직선 화살표 연결선 22998">
          <a:extLst>
            <a:ext uri="{FF2B5EF4-FFF2-40B4-BE49-F238E27FC236}">
              <a16:creationId xmlns:a16="http://schemas.microsoft.com/office/drawing/2014/main" id="{E37472E2-885D-45C5-91BF-26501970A44D}"/>
            </a:ext>
          </a:extLst>
        </xdr:cNvPr>
        <xdr:cNvCxnSpPr/>
      </xdr:nvCxnSpPr>
      <xdr:spPr>
        <a:xfrm>
          <a:off x="11772900"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17</xdr:row>
      <xdr:rowOff>19050</xdr:rowOff>
    </xdr:from>
    <xdr:to>
      <xdr:col>34</xdr:col>
      <xdr:colOff>1270</xdr:colOff>
      <xdr:row>17</xdr:row>
      <xdr:rowOff>133350</xdr:rowOff>
    </xdr:to>
    <xdr:sp macro="" textlink="">
      <xdr:nvSpPr>
        <xdr:cNvPr id="23000" name="14">
          <a:extLst>
            <a:ext uri="{FF2B5EF4-FFF2-40B4-BE49-F238E27FC236}">
              <a16:creationId xmlns:a16="http://schemas.microsoft.com/office/drawing/2014/main" id="{E47F190E-46C3-4287-A1BE-CE9A14963F5F}"/>
            </a:ext>
          </a:extLst>
        </xdr:cNvPr>
        <xdr:cNvSpPr/>
      </xdr:nvSpPr>
      <xdr:spPr>
        <a:xfrm>
          <a:off x="11711668" y="2752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17</xdr:row>
      <xdr:rowOff>76200</xdr:rowOff>
    </xdr:from>
    <xdr:to>
      <xdr:col>33</xdr:col>
      <xdr:colOff>81643</xdr:colOff>
      <xdr:row>17</xdr:row>
      <xdr:rowOff>76200</xdr:rowOff>
    </xdr:to>
    <xdr:cxnSp macro="">
      <xdr:nvCxnSpPr>
        <xdr:cNvPr id="23001" name="직선 화살표 연결선 23000">
          <a:extLst>
            <a:ext uri="{FF2B5EF4-FFF2-40B4-BE49-F238E27FC236}">
              <a16:creationId xmlns:a16="http://schemas.microsoft.com/office/drawing/2014/main" id="{FBF4C0C9-EC91-402E-B02B-E2B2462C55F4}"/>
            </a:ext>
          </a:extLst>
        </xdr:cNvPr>
        <xdr:cNvCxnSpPr/>
      </xdr:nvCxnSpPr>
      <xdr:spPr>
        <a:xfrm>
          <a:off x="11711668"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16</xdr:row>
      <xdr:rowOff>19050</xdr:rowOff>
    </xdr:from>
    <xdr:to>
      <xdr:col>33</xdr:col>
      <xdr:colOff>103323</xdr:colOff>
      <xdr:row>16</xdr:row>
      <xdr:rowOff>133350</xdr:rowOff>
    </xdr:to>
    <xdr:sp macro="" textlink="">
      <xdr:nvSpPr>
        <xdr:cNvPr id="23002" name="13">
          <a:extLst>
            <a:ext uri="{FF2B5EF4-FFF2-40B4-BE49-F238E27FC236}">
              <a16:creationId xmlns:a16="http://schemas.microsoft.com/office/drawing/2014/main" id="{8405A5BE-5B06-473C-B832-5275A34192A9}"/>
            </a:ext>
          </a:extLst>
        </xdr:cNvPr>
        <xdr:cNvSpPr/>
      </xdr:nvSpPr>
      <xdr:spPr>
        <a:xfrm>
          <a:off x="11670847" y="2600325"/>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16</xdr:row>
      <xdr:rowOff>76200</xdr:rowOff>
    </xdr:from>
    <xdr:to>
      <xdr:col>33</xdr:col>
      <xdr:colOff>40822</xdr:colOff>
      <xdr:row>16</xdr:row>
      <xdr:rowOff>76200</xdr:rowOff>
    </xdr:to>
    <xdr:cxnSp macro="">
      <xdr:nvCxnSpPr>
        <xdr:cNvPr id="23003" name="직선 화살표 연결선 23002">
          <a:extLst>
            <a:ext uri="{FF2B5EF4-FFF2-40B4-BE49-F238E27FC236}">
              <a16:creationId xmlns:a16="http://schemas.microsoft.com/office/drawing/2014/main" id="{33488E2C-17B9-4668-A401-CDEBA54B0519}"/>
            </a:ext>
          </a:extLst>
        </xdr:cNvPr>
        <xdr:cNvCxnSpPr/>
      </xdr:nvCxnSpPr>
      <xdr:spPr>
        <a:xfrm>
          <a:off x="11670847"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33</xdr:col>
      <xdr:colOff>42091</xdr:colOff>
      <xdr:row>15</xdr:row>
      <xdr:rowOff>133350</xdr:rowOff>
    </xdr:to>
    <xdr:sp macro="" textlink="">
      <xdr:nvSpPr>
        <xdr:cNvPr id="23004" name="12">
          <a:extLst>
            <a:ext uri="{FF2B5EF4-FFF2-40B4-BE49-F238E27FC236}">
              <a16:creationId xmlns:a16="http://schemas.microsoft.com/office/drawing/2014/main" id="{70BAF3C2-401C-4AA4-A7F1-74B9CD135AC6}"/>
            </a:ext>
          </a:extLst>
        </xdr:cNvPr>
        <xdr:cNvSpPr/>
      </xdr:nvSpPr>
      <xdr:spPr>
        <a:xfrm>
          <a:off x="11630025" y="2447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33</xdr:col>
      <xdr:colOff>0</xdr:colOff>
      <xdr:row>15</xdr:row>
      <xdr:rowOff>76200</xdr:rowOff>
    </xdr:to>
    <xdr:cxnSp macro="">
      <xdr:nvCxnSpPr>
        <xdr:cNvPr id="23005" name="직선 화살표 연결선 23004">
          <a:extLst>
            <a:ext uri="{FF2B5EF4-FFF2-40B4-BE49-F238E27FC236}">
              <a16:creationId xmlns:a16="http://schemas.microsoft.com/office/drawing/2014/main" id="{D7569130-719F-4BFD-803D-31F7A6A5B980}"/>
            </a:ext>
          </a:extLst>
        </xdr:cNvPr>
        <xdr:cNvCxnSpPr/>
      </xdr:nvCxnSpPr>
      <xdr:spPr>
        <a:xfrm>
          <a:off x="1163002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14</xdr:row>
      <xdr:rowOff>19050</xdr:rowOff>
    </xdr:from>
    <xdr:to>
      <xdr:col>33</xdr:col>
      <xdr:colOff>21680</xdr:colOff>
      <xdr:row>14</xdr:row>
      <xdr:rowOff>133350</xdr:rowOff>
    </xdr:to>
    <xdr:sp macro="" textlink="">
      <xdr:nvSpPr>
        <xdr:cNvPr id="23006" name="0">
          <a:extLst>
            <a:ext uri="{FF2B5EF4-FFF2-40B4-BE49-F238E27FC236}">
              <a16:creationId xmlns:a16="http://schemas.microsoft.com/office/drawing/2014/main" id="{004DC123-1310-4CC8-84D5-E2202B516985}"/>
            </a:ext>
          </a:extLst>
        </xdr:cNvPr>
        <xdr:cNvSpPr/>
      </xdr:nvSpPr>
      <xdr:spPr>
        <a:xfrm>
          <a:off x="11630025" y="22955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14</xdr:row>
      <xdr:rowOff>76200</xdr:rowOff>
    </xdr:from>
    <xdr:to>
      <xdr:col>33</xdr:col>
      <xdr:colOff>20410</xdr:colOff>
      <xdr:row>14</xdr:row>
      <xdr:rowOff>76200</xdr:rowOff>
    </xdr:to>
    <xdr:cxnSp macro="">
      <xdr:nvCxnSpPr>
        <xdr:cNvPr id="23007" name="직선 화살표 연결선 23006">
          <a:extLst>
            <a:ext uri="{FF2B5EF4-FFF2-40B4-BE49-F238E27FC236}">
              <a16:creationId xmlns:a16="http://schemas.microsoft.com/office/drawing/2014/main" id="{EBC746B4-996E-4130-9885-239E3556C3A3}"/>
            </a:ext>
          </a:extLst>
        </xdr:cNvPr>
        <xdr:cNvCxnSpPr/>
      </xdr:nvCxnSpPr>
      <xdr:spPr>
        <a:xfrm>
          <a:off x="11630025" y="23526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13</xdr:row>
      <xdr:rowOff>19050</xdr:rowOff>
    </xdr:from>
    <xdr:to>
      <xdr:col>33</xdr:col>
      <xdr:colOff>21680</xdr:colOff>
      <xdr:row>13</xdr:row>
      <xdr:rowOff>133350</xdr:rowOff>
    </xdr:to>
    <xdr:sp macro="" textlink="">
      <xdr:nvSpPr>
        <xdr:cNvPr id="23008" name="10">
          <a:extLst>
            <a:ext uri="{FF2B5EF4-FFF2-40B4-BE49-F238E27FC236}">
              <a16:creationId xmlns:a16="http://schemas.microsoft.com/office/drawing/2014/main" id="{D70A8312-797D-45F8-BFB9-338F2E440175}"/>
            </a:ext>
          </a:extLst>
        </xdr:cNvPr>
        <xdr:cNvSpPr/>
      </xdr:nvSpPr>
      <xdr:spPr>
        <a:xfrm>
          <a:off x="11630025" y="21431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13</xdr:row>
      <xdr:rowOff>76200</xdr:rowOff>
    </xdr:from>
    <xdr:to>
      <xdr:col>33</xdr:col>
      <xdr:colOff>20410</xdr:colOff>
      <xdr:row>13</xdr:row>
      <xdr:rowOff>76200</xdr:rowOff>
    </xdr:to>
    <xdr:cxnSp macro="">
      <xdr:nvCxnSpPr>
        <xdr:cNvPr id="23009" name="직선 화살표 연결선 23008">
          <a:extLst>
            <a:ext uri="{FF2B5EF4-FFF2-40B4-BE49-F238E27FC236}">
              <a16:creationId xmlns:a16="http://schemas.microsoft.com/office/drawing/2014/main" id="{F576E0CB-DB87-4335-AE63-FAA74B30DCE8}"/>
            </a:ext>
          </a:extLst>
        </xdr:cNvPr>
        <xdr:cNvCxnSpPr/>
      </xdr:nvCxnSpPr>
      <xdr:spPr>
        <a:xfrm>
          <a:off x="11630025" y="22002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12</xdr:row>
      <xdr:rowOff>19050</xdr:rowOff>
    </xdr:from>
    <xdr:to>
      <xdr:col>33</xdr:col>
      <xdr:colOff>21680</xdr:colOff>
      <xdr:row>12</xdr:row>
      <xdr:rowOff>133350</xdr:rowOff>
    </xdr:to>
    <xdr:sp macro="" textlink="">
      <xdr:nvSpPr>
        <xdr:cNvPr id="23010" name="9">
          <a:extLst>
            <a:ext uri="{FF2B5EF4-FFF2-40B4-BE49-F238E27FC236}">
              <a16:creationId xmlns:a16="http://schemas.microsoft.com/office/drawing/2014/main" id="{EF063AC3-800C-4648-888F-061C76C6E1FC}"/>
            </a:ext>
          </a:extLst>
        </xdr:cNvPr>
        <xdr:cNvSpPr/>
      </xdr:nvSpPr>
      <xdr:spPr>
        <a:xfrm>
          <a:off x="11630025"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12</xdr:row>
      <xdr:rowOff>76200</xdr:rowOff>
    </xdr:from>
    <xdr:to>
      <xdr:col>33</xdr:col>
      <xdr:colOff>0</xdr:colOff>
      <xdr:row>12</xdr:row>
      <xdr:rowOff>76200</xdr:rowOff>
    </xdr:to>
    <xdr:cxnSp macro="">
      <xdr:nvCxnSpPr>
        <xdr:cNvPr id="23011" name="직선 화살표 연결선 23010">
          <a:extLst>
            <a:ext uri="{FF2B5EF4-FFF2-40B4-BE49-F238E27FC236}">
              <a16:creationId xmlns:a16="http://schemas.microsoft.com/office/drawing/2014/main" id="{DD45D2CA-ED39-4828-8986-3E30DF317EB4}"/>
            </a:ext>
          </a:extLst>
        </xdr:cNvPr>
        <xdr:cNvCxnSpPr/>
      </xdr:nvCxnSpPr>
      <xdr:spPr>
        <a:xfrm>
          <a:off x="11630025"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11</xdr:row>
      <xdr:rowOff>19050</xdr:rowOff>
    </xdr:from>
    <xdr:to>
      <xdr:col>34</xdr:col>
      <xdr:colOff>1270</xdr:colOff>
      <xdr:row>11</xdr:row>
      <xdr:rowOff>133350</xdr:rowOff>
    </xdr:to>
    <xdr:sp macro="" textlink="">
      <xdr:nvSpPr>
        <xdr:cNvPr id="23012" name="8">
          <a:extLst>
            <a:ext uri="{FF2B5EF4-FFF2-40B4-BE49-F238E27FC236}">
              <a16:creationId xmlns:a16="http://schemas.microsoft.com/office/drawing/2014/main" id="{10E83563-B5B3-4C63-8C83-FBDBF39E68A3}"/>
            </a:ext>
          </a:extLst>
        </xdr:cNvPr>
        <xdr:cNvSpPr/>
      </xdr:nvSpPr>
      <xdr:spPr>
        <a:xfrm>
          <a:off x="11630025" y="1838325"/>
          <a:ext cx="144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11</xdr:row>
      <xdr:rowOff>76200</xdr:rowOff>
    </xdr:from>
    <xdr:to>
      <xdr:col>33</xdr:col>
      <xdr:colOff>0</xdr:colOff>
      <xdr:row>11</xdr:row>
      <xdr:rowOff>76200</xdr:rowOff>
    </xdr:to>
    <xdr:cxnSp macro="">
      <xdr:nvCxnSpPr>
        <xdr:cNvPr id="23013" name="직선 화살표 연결선 23012">
          <a:extLst>
            <a:ext uri="{FF2B5EF4-FFF2-40B4-BE49-F238E27FC236}">
              <a16:creationId xmlns:a16="http://schemas.microsoft.com/office/drawing/2014/main" id="{52CE4B21-5FA0-4CBB-B925-EBC1BF64275A}"/>
            </a:ext>
          </a:extLst>
        </xdr:cNvPr>
        <xdr:cNvCxnSpPr/>
      </xdr:nvCxnSpPr>
      <xdr:spPr>
        <a:xfrm>
          <a:off x="11630025"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10</xdr:row>
      <xdr:rowOff>19050</xdr:rowOff>
    </xdr:from>
    <xdr:to>
      <xdr:col>33</xdr:col>
      <xdr:colOff>1270</xdr:colOff>
      <xdr:row>10</xdr:row>
      <xdr:rowOff>133350</xdr:rowOff>
    </xdr:to>
    <xdr:sp macro="" textlink="">
      <xdr:nvSpPr>
        <xdr:cNvPr id="23014" name="7">
          <a:extLst>
            <a:ext uri="{FF2B5EF4-FFF2-40B4-BE49-F238E27FC236}">
              <a16:creationId xmlns:a16="http://schemas.microsoft.com/office/drawing/2014/main" id="{3159C88E-3251-483A-8A78-3D5CDD614235}"/>
            </a:ext>
          </a:extLst>
        </xdr:cNvPr>
        <xdr:cNvSpPr/>
      </xdr:nvSpPr>
      <xdr:spPr>
        <a:xfrm>
          <a:off x="11609615" y="16859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10</xdr:row>
      <xdr:rowOff>76200</xdr:rowOff>
    </xdr:from>
    <xdr:to>
      <xdr:col>33</xdr:col>
      <xdr:colOff>0</xdr:colOff>
      <xdr:row>10</xdr:row>
      <xdr:rowOff>76200</xdr:rowOff>
    </xdr:to>
    <xdr:cxnSp macro="">
      <xdr:nvCxnSpPr>
        <xdr:cNvPr id="23015" name="직선 화살표 연결선 23014">
          <a:extLst>
            <a:ext uri="{FF2B5EF4-FFF2-40B4-BE49-F238E27FC236}">
              <a16:creationId xmlns:a16="http://schemas.microsoft.com/office/drawing/2014/main" id="{F43E8362-BEBA-4BEE-8E5F-BD0F03EA6622}"/>
            </a:ext>
          </a:extLst>
        </xdr:cNvPr>
        <xdr:cNvCxnSpPr/>
      </xdr:nvCxnSpPr>
      <xdr:spPr>
        <a:xfrm>
          <a:off x="11609615" y="17430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9</xdr:row>
      <xdr:rowOff>19050</xdr:rowOff>
    </xdr:from>
    <xdr:to>
      <xdr:col>33</xdr:col>
      <xdr:colOff>106590</xdr:colOff>
      <xdr:row>9</xdr:row>
      <xdr:rowOff>146050</xdr:rowOff>
    </xdr:to>
    <xdr:sp macro="" textlink="">
      <xdr:nvSpPr>
        <xdr:cNvPr id="23016" name="다이아몬드 23015">
          <a:extLst>
            <a:ext uri="{FF2B5EF4-FFF2-40B4-BE49-F238E27FC236}">
              <a16:creationId xmlns:a16="http://schemas.microsoft.com/office/drawing/2014/main" id="{3D9519D9-BD2D-41CC-9A52-689CD885DD0B}"/>
            </a:ext>
          </a:extLst>
        </xdr:cNvPr>
        <xdr:cNvSpPr/>
      </xdr:nvSpPr>
      <xdr:spPr>
        <a:xfrm>
          <a:off x="11609615" y="1533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8</xdr:row>
      <xdr:rowOff>19050</xdr:rowOff>
    </xdr:from>
    <xdr:to>
      <xdr:col>33</xdr:col>
      <xdr:colOff>1270</xdr:colOff>
      <xdr:row>8</xdr:row>
      <xdr:rowOff>133350</xdr:rowOff>
    </xdr:to>
    <xdr:sp macro="" textlink="">
      <xdr:nvSpPr>
        <xdr:cNvPr id="23017" name="5">
          <a:extLst>
            <a:ext uri="{FF2B5EF4-FFF2-40B4-BE49-F238E27FC236}">
              <a16:creationId xmlns:a16="http://schemas.microsoft.com/office/drawing/2014/main" id="{AE4A2886-8B67-423E-9824-DBB0B0E7A309}"/>
            </a:ext>
          </a:extLst>
        </xdr:cNvPr>
        <xdr:cNvSpPr/>
      </xdr:nvSpPr>
      <xdr:spPr>
        <a:xfrm>
          <a:off x="11609615" y="13811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8</xdr:row>
      <xdr:rowOff>76200</xdr:rowOff>
    </xdr:from>
    <xdr:to>
      <xdr:col>32</xdr:col>
      <xdr:colOff>141854</xdr:colOff>
      <xdr:row>8</xdr:row>
      <xdr:rowOff>76200</xdr:rowOff>
    </xdr:to>
    <xdr:cxnSp macro="">
      <xdr:nvCxnSpPr>
        <xdr:cNvPr id="23018" name="직선 화살표 연결선 23017">
          <a:extLst>
            <a:ext uri="{FF2B5EF4-FFF2-40B4-BE49-F238E27FC236}">
              <a16:creationId xmlns:a16="http://schemas.microsoft.com/office/drawing/2014/main" id="{ECFDD963-09D8-429E-B983-3B141116DABD}"/>
            </a:ext>
          </a:extLst>
        </xdr:cNvPr>
        <xdr:cNvCxnSpPr/>
      </xdr:nvCxnSpPr>
      <xdr:spPr>
        <a:xfrm>
          <a:off x="11609615" y="1438275"/>
          <a:ext cx="193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7</xdr:row>
      <xdr:rowOff>19050</xdr:rowOff>
    </xdr:from>
    <xdr:to>
      <xdr:col>33</xdr:col>
      <xdr:colOff>1270</xdr:colOff>
      <xdr:row>7</xdr:row>
      <xdr:rowOff>133350</xdr:rowOff>
    </xdr:to>
    <xdr:sp macro="" textlink="">
      <xdr:nvSpPr>
        <xdr:cNvPr id="23019" name="4">
          <a:extLst>
            <a:ext uri="{FF2B5EF4-FFF2-40B4-BE49-F238E27FC236}">
              <a16:creationId xmlns:a16="http://schemas.microsoft.com/office/drawing/2014/main" id="{6B26C9F1-A57B-4BE8-B3D0-51FFF96A2E5E}"/>
            </a:ext>
          </a:extLst>
        </xdr:cNvPr>
        <xdr:cNvSpPr/>
      </xdr:nvSpPr>
      <xdr:spPr>
        <a:xfrm>
          <a:off x="11609615" y="1228725"/>
          <a:ext cx="216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7</xdr:row>
      <xdr:rowOff>76200</xdr:rowOff>
    </xdr:from>
    <xdr:to>
      <xdr:col>32</xdr:col>
      <xdr:colOff>122465</xdr:colOff>
      <xdr:row>7</xdr:row>
      <xdr:rowOff>76200</xdr:rowOff>
    </xdr:to>
    <xdr:cxnSp macro="">
      <xdr:nvCxnSpPr>
        <xdr:cNvPr id="23020" name="직선 화살표 연결선 23019">
          <a:extLst>
            <a:ext uri="{FF2B5EF4-FFF2-40B4-BE49-F238E27FC236}">
              <a16:creationId xmlns:a16="http://schemas.microsoft.com/office/drawing/2014/main" id="{F3738997-A30E-487F-9A3E-178080E52D64}"/>
            </a:ext>
          </a:extLst>
        </xdr:cNvPr>
        <xdr:cNvCxnSpPr/>
      </xdr:nvCxnSpPr>
      <xdr:spPr>
        <a:xfrm>
          <a:off x="11609615"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6</xdr:row>
      <xdr:rowOff>19050</xdr:rowOff>
    </xdr:from>
    <xdr:to>
      <xdr:col>32</xdr:col>
      <xdr:colOff>123734</xdr:colOff>
      <xdr:row>6</xdr:row>
      <xdr:rowOff>133350</xdr:rowOff>
    </xdr:to>
    <xdr:sp macro="" textlink="">
      <xdr:nvSpPr>
        <xdr:cNvPr id="23021" name="3">
          <a:extLst>
            <a:ext uri="{FF2B5EF4-FFF2-40B4-BE49-F238E27FC236}">
              <a16:creationId xmlns:a16="http://schemas.microsoft.com/office/drawing/2014/main" id="{2330FD92-7D85-48DA-9F8F-52188AECDB41}"/>
            </a:ext>
          </a:extLst>
        </xdr:cNvPr>
        <xdr:cNvSpPr/>
      </xdr:nvSpPr>
      <xdr:spPr>
        <a:xfrm>
          <a:off x="11589203" y="1076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6</xdr:row>
      <xdr:rowOff>76200</xdr:rowOff>
    </xdr:from>
    <xdr:to>
      <xdr:col>32</xdr:col>
      <xdr:colOff>122465</xdr:colOff>
      <xdr:row>6</xdr:row>
      <xdr:rowOff>76200</xdr:rowOff>
    </xdr:to>
    <xdr:cxnSp macro="">
      <xdr:nvCxnSpPr>
        <xdr:cNvPr id="23022" name="직선 화살표 연결선 23021">
          <a:extLst>
            <a:ext uri="{FF2B5EF4-FFF2-40B4-BE49-F238E27FC236}">
              <a16:creationId xmlns:a16="http://schemas.microsoft.com/office/drawing/2014/main" id="{888E59BF-4137-4120-BCE0-B785AEE72B68}"/>
            </a:ext>
          </a:extLst>
        </xdr:cNvPr>
        <xdr:cNvCxnSpPr/>
      </xdr:nvCxnSpPr>
      <xdr:spPr>
        <a:xfrm>
          <a:off x="11589203" y="11334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5</xdr:row>
      <xdr:rowOff>19050</xdr:rowOff>
    </xdr:from>
    <xdr:to>
      <xdr:col>32</xdr:col>
      <xdr:colOff>123734</xdr:colOff>
      <xdr:row>5</xdr:row>
      <xdr:rowOff>133350</xdr:rowOff>
    </xdr:to>
    <xdr:sp macro="" textlink="">
      <xdr:nvSpPr>
        <xdr:cNvPr id="23023" name="2">
          <a:extLst>
            <a:ext uri="{FF2B5EF4-FFF2-40B4-BE49-F238E27FC236}">
              <a16:creationId xmlns:a16="http://schemas.microsoft.com/office/drawing/2014/main" id="{54895B57-609F-46BF-A1DC-1F2D45E16595}"/>
            </a:ext>
          </a:extLst>
        </xdr:cNvPr>
        <xdr:cNvSpPr/>
      </xdr:nvSpPr>
      <xdr:spPr>
        <a:xfrm>
          <a:off x="11589203" y="9239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5</xdr:row>
      <xdr:rowOff>76200</xdr:rowOff>
    </xdr:from>
    <xdr:to>
      <xdr:col>32</xdr:col>
      <xdr:colOff>122465</xdr:colOff>
      <xdr:row>5</xdr:row>
      <xdr:rowOff>76200</xdr:rowOff>
    </xdr:to>
    <xdr:cxnSp macro="">
      <xdr:nvCxnSpPr>
        <xdr:cNvPr id="23024" name="직선 화살표 연결선 23023">
          <a:extLst>
            <a:ext uri="{FF2B5EF4-FFF2-40B4-BE49-F238E27FC236}">
              <a16:creationId xmlns:a16="http://schemas.microsoft.com/office/drawing/2014/main" id="{264129EE-5587-4412-B139-6B9AE4CDB8F4}"/>
            </a:ext>
          </a:extLst>
        </xdr:cNvPr>
        <xdr:cNvCxnSpPr/>
      </xdr:nvCxnSpPr>
      <xdr:spPr>
        <a:xfrm>
          <a:off x="11589203" y="9810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4</xdr:row>
      <xdr:rowOff>19050</xdr:rowOff>
    </xdr:from>
    <xdr:to>
      <xdr:col>36</xdr:col>
      <xdr:colOff>123734</xdr:colOff>
      <xdr:row>4</xdr:row>
      <xdr:rowOff>133350</xdr:rowOff>
    </xdr:to>
    <xdr:sp macro="" textlink="">
      <xdr:nvSpPr>
        <xdr:cNvPr id="23025" name="1">
          <a:extLst>
            <a:ext uri="{FF2B5EF4-FFF2-40B4-BE49-F238E27FC236}">
              <a16:creationId xmlns:a16="http://schemas.microsoft.com/office/drawing/2014/main" id="{F1A60224-7170-4D14-A5AA-2186D2407183}"/>
            </a:ext>
          </a:extLst>
        </xdr:cNvPr>
        <xdr:cNvSpPr/>
      </xdr:nvSpPr>
      <xdr:spPr>
        <a:xfrm>
          <a:off x="11589203" y="7715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4</xdr:row>
      <xdr:rowOff>76200</xdr:rowOff>
    </xdr:from>
    <xdr:to>
      <xdr:col>32</xdr:col>
      <xdr:colOff>127789</xdr:colOff>
      <xdr:row>4</xdr:row>
      <xdr:rowOff>76200</xdr:rowOff>
    </xdr:to>
    <xdr:cxnSp macro="">
      <xdr:nvCxnSpPr>
        <xdr:cNvPr id="23026" name="직선 화살표 연결선 23025">
          <a:extLst>
            <a:ext uri="{FF2B5EF4-FFF2-40B4-BE49-F238E27FC236}">
              <a16:creationId xmlns:a16="http://schemas.microsoft.com/office/drawing/2014/main" id="{158C48D4-1BEC-4E55-91DB-66B90E9587A6}"/>
            </a:ext>
          </a:extLst>
        </xdr:cNvPr>
        <xdr:cNvCxnSpPr/>
      </xdr:nvCxnSpPr>
      <xdr:spPr>
        <a:xfrm>
          <a:off x="11589203" y="828675"/>
          <a:ext cx="25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2</xdr:row>
          <xdr:rowOff>28575</xdr:rowOff>
        </xdr:from>
        <xdr:to>
          <xdr:col>12</xdr:col>
          <xdr:colOff>219075</xdr:colOff>
          <xdr:row>2</xdr:row>
          <xdr:rowOff>342900</xdr:rowOff>
        </xdr:to>
        <xdr:sp macro="" textlink="">
          <xdr:nvSpPr>
            <xdr:cNvPr id="2049" name="스크롤 막대 6" descr="Gantt 시간 표시줄을 스크롤하기 위한 스크롤 막대입니다." hidden="1">
              <a:extLst>
                <a:ext uri="{63B3BB69-23CF-44E3-9099-C40C66FF867C}">
                  <a14:compatExt spid="_x0000_s2049"/>
                </a:ext>
                <a:ext uri="{FF2B5EF4-FFF2-40B4-BE49-F238E27FC236}">
                  <a16:creationId xmlns:a16="http://schemas.microsoft.com/office/drawing/2014/main" id="{00000000-0008-0000-09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AAFC91-2F25-43EE-817F-E31260434143}" name="중요_시점" displayName="중요_시점" ref="B6:F32">
  <autoFilter ref="B6:F32" xr:uid="{29E5A880-80D5-4B65-B5FB-8FB3913D3D27}">
    <filterColumn colId="0" hiddenButton="1"/>
    <filterColumn colId="1" hiddenButton="1"/>
    <filterColumn colId="2" hiddenButton="1"/>
    <filterColumn colId="3" hiddenButton="1"/>
    <filterColumn colId="4" hiddenButton="1"/>
  </autoFilter>
  <tableColumns count="5">
    <tableColumn id="1" xr3:uid="{24A8F2DB-894B-4C7C-A7DF-05BAA04098DE}" name="품번" totalsRowLabel="요약"/>
    <tableColumn id="2" xr3:uid="{12353942-39FC-4EB6-B63F-F2377D1EE510}" name="품명" dataDxfId="11"/>
    <tableColumn id="3" xr3:uid="{A8FC80AD-0176-4F8A-83F1-DD4A2C266FAF}" name="업체"/>
    <tableColumn id="5" xr3:uid="{0E7D0CCC-D67F-4828-8B56-C5313367073F}" name="시작"/>
    <tableColumn id="6" xr3:uid="{E20F8F63-CDAF-43B8-9AF9-956B60B63481}" name="일수" totalsRowFunction="sum" totalsRowDxfId="10"/>
  </tableColumns>
  <tableStyleInfo name="Gantt 테이블 스타일" showFirstColumn="1" showLastColumn="0" showRowStripes="0" showColumnStripes="0"/>
  <extLst>
    <ext xmlns:x14="http://schemas.microsoft.com/office/spreadsheetml/2009/9/main" uri="{504A1905-F514-4f6f-8877-14C23A59335A}">
      <x14:table altTextSummary="이 표에 프로젝트 중요 시점 정보를 입력합니다. 중요 시점 설명 아래의 열에 단계, 작업, 활동 등에 대한 설명을 입력합니다. 할당 대상 열에 있는 사용자에게 항목을 할당합니다. 진행률 상황을 업데이트하고 진행률 열에서 데이터 막대 자동 업데이트를 주시합니다. 시작 열에 시작 날짜를, 일 수 열에 일 수를 입력합니다. "/>
    </ext>
  </extLst>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0.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1415</v>
      </c>
      <c r="C6" s="72"/>
      <c r="D6" s="72"/>
      <c r="E6" s="72" t="s">
        <v>11</v>
      </c>
      <c r="F6" s="72"/>
    </row>
    <row r="7" spans="1:64">
      <c r="A7" s="71" t="s">
        <v>16</v>
      </c>
      <c r="B7" s="71" t="s">
        <v>10</v>
      </c>
      <c r="C7" s="72"/>
      <c r="D7" s="72"/>
      <c r="E7" s="72" t="s">
        <v>11</v>
      </c>
      <c r="F7" s="72"/>
    </row>
    <row r="8" spans="1:64">
      <c r="A8" s="71" t="s">
        <v>17</v>
      </c>
      <c r="B8" s="74" t="s">
        <v>1565</v>
      </c>
      <c r="C8" s="72" t="s">
        <v>1618</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1662</v>
      </c>
      <c r="D11" s="70" t="s">
        <v>23</v>
      </c>
      <c r="E11" s="79">
        <v>1</v>
      </c>
      <c r="F11" s="80" t="s">
        <v>24</v>
      </c>
      <c r="G11" s="81">
        <v>44512</v>
      </c>
      <c r="H11" s="80" t="s">
        <v>25</v>
      </c>
      <c r="I11" s="81">
        <v>44540</v>
      </c>
      <c r="J11" s="73" t="s">
        <v>403</v>
      </c>
      <c r="K11" s="73" t="s">
        <v>1619</v>
      </c>
      <c r="L11" s="73" t="s">
        <v>400</v>
      </c>
      <c r="M11" s="73">
        <v>1</v>
      </c>
      <c r="N11" s="78" t="s">
        <v>26</v>
      </c>
      <c r="O11" s="70">
        <v>0</v>
      </c>
      <c r="P11" s="70" t="s">
        <v>27</v>
      </c>
      <c r="Q11" s="78" t="s">
        <v>1371</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1368</v>
      </c>
      <c r="AR12" s="73" t="s">
        <v>1406</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1663</v>
      </c>
      <c r="D14" s="79" t="s">
        <v>33</v>
      </c>
      <c r="E14" s="79" t="s">
        <v>540</v>
      </c>
      <c r="F14" s="79" t="s">
        <v>34</v>
      </c>
      <c r="G14" s="79" t="s">
        <v>1664</v>
      </c>
      <c r="H14" s="79" t="s">
        <v>35</v>
      </c>
      <c r="I14" s="79" t="b">
        <v>0</v>
      </c>
      <c r="J14" s="79" t="s">
        <v>36</v>
      </c>
      <c r="K14" s="79" t="s">
        <v>1665</v>
      </c>
      <c r="L14" s="79" t="s">
        <v>37</v>
      </c>
      <c r="M14" s="79" t="s">
        <v>551</v>
      </c>
      <c r="N14" s="79" t="s">
        <v>38</v>
      </c>
      <c r="O14" s="79" t="s">
        <v>1664</v>
      </c>
      <c r="P14" s="79" t="s">
        <v>39</v>
      </c>
      <c r="Q14" s="79" t="b">
        <v>0</v>
      </c>
      <c r="R14" s="79" t="s">
        <v>40</v>
      </c>
      <c r="S14" s="79" t="s">
        <v>1666</v>
      </c>
      <c r="T14" s="79" t="s">
        <v>41</v>
      </c>
      <c r="U14" s="79" t="s">
        <v>552</v>
      </c>
      <c r="V14" s="79" t="s">
        <v>42</v>
      </c>
      <c r="W14" s="79" t="s">
        <v>1664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1339</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304" t="s">
        <v>1417</v>
      </c>
      <c r="B1" s="305"/>
      <c r="C1" s="305"/>
      <c r="D1" s="305"/>
      <c r="E1" s="305"/>
      <c r="F1" s="305"/>
      <c r="G1" s="305"/>
      <c r="H1" s="182"/>
      <c r="I1" s="182"/>
      <c r="J1" s="311" t="s">
        <v>1567</v>
      </c>
      <c r="K1" s="312"/>
      <c r="L1" s="312"/>
      <c r="M1" s="183"/>
    </row>
    <row r="2" spans="1:13" s="104" customFormat="1" ht="33.75" customHeight="1">
      <c r="A2" s="306"/>
      <c r="B2" s="307"/>
      <c r="C2" s="307"/>
      <c r="D2" s="307"/>
      <c r="E2" s="307"/>
      <c r="F2" s="307"/>
      <c r="G2" s="307"/>
      <c r="H2" s="315" t="s">
        <v>1418</v>
      </c>
      <c r="I2" s="316"/>
      <c r="J2" s="316"/>
      <c r="K2" s="316"/>
      <c r="L2" s="316"/>
      <c r="M2" s="184"/>
    </row>
    <row r="4" spans="1:13" ht="17.25" customHeight="1">
      <c r="B4" s="313" t="s">
        <v>1419</v>
      </c>
      <c r="C4" s="313"/>
      <c r="D4" s="313"/>
      <c r="E4" s="313"/>
      <c r="F4" s="313"/>
      <c r="G4" s="313"/>
      <c r="H4" s="313"/>
      <c r="I4" s="313"/>
      <c r="J4" s="313"/>
      <c r="K4" s="313"/>
      <c r="L4" s="313"/>
    </row>
    <row r="5" spans="1:13" ht="27.75" customHeight="1">
      <c r="B5" s="313"/>
      <c r="C5" s="313"/>
      <c r="D5" s="313"/>
      <c r="E5" s="313"/>
      <c r="F5" s="313"/>
      <c r="G5" s="313"/>
      <c r="H5" s="313"/>
      <c r="I5" s="313"/>
      <c r="J5" s="313"/>
      <c r="K5" s="313"/>
      <c r="L5" s="313"/>
    </row>
    <row r="6" spans="1:13" s="104" customFormat="1" ht="12.75">
      <c r="B6" s="105"/>
    </row>
    <row r="7" spans="1:13" s="104" customFormat="1" ht="18.75">
      <c r="B7" s="106" t="s">
        <v>1420</v>
      </c>
      <c r="D7" s="107"/>
    </row>
    <row r="8" spans="1:13" s="104" customFormat="1" ht="7.5" customHeight="1">
      <c r="B8" s="105"/>
    </row>
    <row r="9" spans="1:13" s="104" customFormat="1" ht="34.5" customHeight="1" thickBot="1">
      <c r="A9" s="108"/>
      <c r="B9" s="109" t="s">
        <v>533</v>
      </c>
      <c r="C9" s="108"/>
      <c r="D9" s="309" t="s">
        <v>1147</v>
      </c>
      <c r="E9" s="309"/>
      <c r="F9" s="309"/>
      <c r="G9" s="309"/>
      <c r="H9" s="309"/>
      <c r="I9" s="309"/>
      <c r="J9" s="309"/>
      <c r="K9" s="309"/>
      <c r="L9" s="309"/>
    </row>
    <row r="10" spans="1:13" s="104" customFormat="1" ht="27.75" customHeight="1" thickTop="1" thickBot="1">
      <c r="A10" s="108"/>
      <c r="B10" s="110" t="s">
        <v>534</v>
      </c>
      <c r="C10" s="108"/>
      <c r="D10" s="309" t="s">
        <v>1421</v>
      </c>
      <c r="E10" s="309"/>
      <c r="F10" s="309"/>
      <c r="G10" s="309"/>
      <c r="H10" s="309"/>
      <c r="I10" s="309"/>
      <c r="J10" s="309"/>
      <c r="K10" s="309"/>
      <c r="L10" s="309"/>
    </row>
    <row r="11" spans="1:13" s="104" customFormat="1" ht="27.75" customHeight="1" thickTop="1" thickBot="1">
      <c r="A11" s="108"/>
      <c r="B11" s="111" t="s">
        <v>535</v>
      </c>
      <c r="C11" s="108"/>
      <c r="D11" s="309" t="s">
        <v>1422</v>
      </c>
      <c r="E11" s="309"/>
      <c r="F11" s="309"/>
      <c r="G11" s="309"/>
      <c r="H11" s="309"/>
      <c r="I11" s="309"/>
      <c r="J11" s="309"/>
      <c r="K11" s="309"/>
      <c r="L11" s="309"/>
    </row>
    <row r="12" spans="1:13" s="104" customFormat="1" ht="27.75" customHeight="1" thickTop="1" thickBot="1">
      <c r="A12" s="108"/>
      <c r="B12" s="112" t="s">
        <v>536</v>
      </c>
      <c r="C12" s="108"/>
      <c r="D12" s="309" t="s">
        <v>1423</v>
      </c>
      <c r="E12" s="309"/>
      <c r="F12" s="309"/>
      <c r="G12" s="309"/>
      <c r="H12" s="309"/>
      <c r="I12" s="309"/>
      <c r="J12" s="309"/>
      <c r="K12" s="309"/>
      <c r="L12" s="309"/>
    </row>
    <row r="13" spans="1:13" s="104" customFormat="1" ht="27.75" customHeight="1" thickTop="1" thickBot="1">
      <c r="A13" s="108"/>
      <c r="B13" s="113" t="s">
        <v>1091</v>
      </c>
      <c r="C13" s="108"/>
      <c r="D13" s="309" t="s">
        <v>1188</v>
      </c>
      <c r="E13" s="309"/>
      <c r="F13" s="309"/>
      <c r="G13" s="309"/>
      <c r="H13" s="309"/>
      <c r="I13" s="309"/>
      <c r="J13" s="309"/>
      <c r="K13" s="309"/>
      <c r="L13" s="309"/>
    </row>
    <row r="14" spans="1:13" s="104" customFormat="1" ht="27.75" customHeight="1" thickTop="1" thickBot="1">
      <c r="A14" s="108"/>
      <c r="B14" s="113" t="s">
        <v>1008</v>
      </c>
      <c r="C14" s="108"/>
      <c r="D14" s="314" t="s">
        <v>1424</v>
      </c>
      <c r="E14" s="314"/>
      <c r="F14" s="314"/>
      <c r="G14" s="314"/>
      <c r="H14" s="314"/>
      <c r="I14" s="314"/>
      <c r="J14" s="314"/>
      <c r="K14" s="314"/>
      <c r="L14" s="314"/>
    </row>
    <row r="15" spans="1:13" s="104" customFormat="1" ht="27.75" customHeight="1" thickTop="1" thickBot="1">
      <c r="A15" s="108"/>
      <c r="B15" s="114" t="s">
        <v>537</v>
      </c>
      <c r="C15" s="108"/>
      <c r="D15" s="309" t="s">
        <v>1425</v>
      </c>
      <c r="E15" s="309"/>
      <c r="F15" s="309"/>
      <c r="G15" s="309"/>
      <c r="H15" s="309"/>
      <c r="I15" s="309"/>
      <c r="J15" s="309"/>
      <c r="K15" s="309"/>
      <c r="L15" s="309"/>
    </row>
    <row r="16" spans="1:13" ht="16.5" thickTop="1">
      <c r="A16" s="115"/>
      <c r="B16" s="116"/>
      <c r="C16" s="115"/>
      <c r="D16" s="117"/>
      <c r="E16" s="117"/>
      <c r="F16" s="117"/>
      <c r="G16" s="117"/>
      <c r="H16" s="117"/>
      <c r="I16" s="117"/>
      <c r="J16" s="117"/>
      <c r="K16" s="117"/>
      <c r="L16" s="117"/>
    </row>
    <row r="17" spans="2:12" s="104" customFormat="1" ht="18.75">
      <c r="B17" s="106" t="s">
        <v>1426</v>
      </c>
      <c r="D17" s="107"/>
    </row>
    <row r="18" spans="2:12" s="104" customFormat="1" ht="5.25" customHeight="1">
      <c r="B18" s="118"/>
      <c r="D18" s="107"/>
    </row>
    <row r="19" spans="2:12" s="104" customFormat="1" ht="24.75" customHeight="1" thickBot="1">
      <c r="B19" s="119" t="s">
        <v>1427</v>
      </c>
      <c r="D19" s="308" t="s">
        <v>1437</v>
      </c>
      <c r="E19" s="308"/>
      <c r="F19" s="308"/>
      <c r="G19" s="308"/>
      <c r="H19" s="308"/>
      <c r="I19" s="308"/>
      <c r="J19" s="308"/>
      <c r="K19" s="308"/>
      <c r="L19" s="126" t="s">
        <v>1174</v>
      </c>
    </row>
    <row r="20" spans="2:12" s="104" customFormat="1" ht="41.25" customHeight="1" thickTop="1" thickBot="1">
      <c r="B20" s="119" t="s">
        <v>1570</v>
      </c>
      <c r="D20" s="308" t="s">
        <v>1438</v>
      </c>
      <c r="E20" s="308"/>
      <c r="F20" s="308"/>
      <c r="G20" s="308"/>
      <c r="H20" s="308"/>
      <c r="I20" s="308"/>
      <c r="J20" s="308"/>
      <c r="K20" s="308"/>
      <c r="L20" s="126" t="s">
        <v>1174</v>
      </c>
    </row>
    <row r="21" spans="2:12" s="104" customFormat="1" ht="37.5" customHeight="1" thickTop="1" thickBot="1">
      <c r="B21" s="119" t="s">
        <v>1428</v>
      </c>
      <c r="D21" s="308" t="s">
        <v>1439</v>
      </c>
      <c r="E21" s="308"/>
      <c r="F21" s="308"/>
      <c r="G21" s="308"/>
      <c r="H21" s="308"/>
      <c r="I21" s="308"/>
      <c r="J21" s="308"/>
      <c r="K21" s="308"/>
      <c r="L21" s="126" t="s">
        <v>1174</v>
      </c>
    </row>
    <row r="22" spans="2:12" s="104" customFormat="1" ht="41.25" customHeight="1" thickTop="1" thickBot="1">
      <c r="B22" s="119" t="s">
        <v>1429</v>
      </c>
      <c r="D22" s="308" t="s">
        <v>1440</v>
      </c>
      <c r="E22" s="308"/>
      <c r="F22" s="308"/>
      <c r="G22" s="308"/>
      <c r="H22" s="308"/>
      <c r="I22" s="308"/>
      <c r="J22" s="308"/>
      <c r="K22" s="308"/>
      <c r="L22" s="126" t="s">
        <v>1174</v>
      </c>
    </row>
    <row r="23" spans="2:12" s="104" customFormat="1" ht="36" customHeight="1" thickTop="1" thickBot="1">
      <c r="B23" s="119" t="s">
        <v>1430</v>
      </c>
      <c r="D23" s="308" t="s">
        <v>1203</v>
      </c>
      <c r="E23" s="308"/>
      <c r="F23" s="308"/>
      <c r="G23" s="308"/>
      <c r="H23" s="308"/>
      <c r="I23" s="308"/>
      <c r="J23" s="308"/>
      <c r="K23" s="308"/>
      <c r="L23" s="126" t="s">
        <v>1174</v>
      </c>
    </row>
    <row r="24" spans="2:12" s="104" customFormat="1" ht="52.5" customHeight="1" thickTop="1" thickBot="1">
      <c r="B24" s="119" t="s">
        <v>1431</v>
      </c>
      <c r="D24" s="308" t="s">
        <v>1441</v>
      </c>
      <c r="E24" s="308"/>
      <c r="F24" s="308"/>
      <c r="G24" s="308"/>
      <c r="H24" s="308"/>
      <c r="I24" s="308"/>
      <c r="J24" s="308"/>
      <c r="K24" s="308"/>
      <c r="L24" s="126" t="s">
        <v>1174</v>
      </c>
    </row>
    <row r="25" spans="2:12" s="104" customFormat="1" ht="57" customHeight="1" thickTop="1" thickBot="1">
      <c r="B25" s="119" t="s">
        <v>1432</v>
      </c>
      <c r="D25" s="308" t="s">
        <v>1442</v>
      </c>
      <c r="E25" s="308"/>
      <c r="F25" s="308"/>
      <c r="G25" s="308"/>
      <c r="H25" s="308"/>
      <c r="I25" s="308"/>
      <c r="J25" s="308"/>
      <c r="K25" s="308"/>
      <c r="L25" s="126" t="s">
        <v>1174</v>
      </c>
    </row>
    <row r="26" spans="2:12" s="104" customFormat="1" ht="48.75" customHeight="1" thickTop="1" thickBot="1">
      <c r="B26" s="119" t="s">
        <v>1433</v>
      </c>
      <c r="D26" s="308" t="s">
        <v>1443</v>
      </c>
      <c r="E26" s="308"/>
      <c r="F26" s="308"/>
      <c r="G26" s="308"/>
      <c r="H26" s="308"/>
      <c r="I26" s="308"/>
      <c r="J26" s="308"/>
      <c r="K26" s="308"/>
      <c r="L26" s="126" t="s">
        <v>1174</v>
      </c>
    </row>
    <row r="27" spans="2:12" s="104" customFormat="1" ht="43.5" customHeight="1" thickTop="1" thickBot="1">
      <c r="B27" s="119" t="s">
        <v>1434</v>
      </c>
      <c r="D27" s="308" t="s">
        <v>1444</v>
      </c>
      <c r="E27" s="308"/>
      <c r="F27" s="308"/>
      <c r="G27" s="308"/>
      <c r="H27" s="308"/>
      <c r="I27" s="308"/>
      <c r="J27" s="308"/>
      <c r="K27" s="308"/>
      <c r="L27" s="126" t="s">
        <v>1174</v>
      </c>
    </row>
    <row r="28" spans="2:12" s="104" customFormat="1" ht="43.5" customHeight="1" thickTop="1" thickBot="1">
      <c r="B28" s="119" t="s">
        <v>1435</v>
      </c>
      <c r="D28" s="308" t="s">
        <v>1445</v>
      </c>
      <c r="E28" s="308"/>
      <c r="F28" s="308"/>
      <c r="G28" s="308"/>
      <c r="H28" s="308"/>
      <c r="I28" s="308"/>
      <c r="J28" s="308"/>
      <c r="K28" s="308"/>
      <c r="L28" s="126" t="s">
        <v>1174</v>
      </c>
    </row>
    <row r="29" spans="2:12" s="104" customFormat="1" ht="50.25" customHeight="1" thickTop="1" thickBot="1">
      <c r="B29" s="119" t="s">
        <v>536</v>
      </c>
      <c r="D29" s="308" t="s">
        <v>1209</v>
      </c>
      <c r="E29" s="308"/>
      <c r="F29" s="308"/>
      <c r="G29" s="308"/>
      <c r="H29" s="308"/>
      <c r="I29" s="308"/>
      <c r="J29" s="308"/>
      <c r="K29" s="308"/>
      <c r="L29" s="126" t="s">
        <v>1174</v>
      </c>
    </row>
    <row r="30" spans="2:12" s="104" customFormat="1" ht="57.75" customHeight="1" thickTop="1" thickBot="1">
      <c r="B30" s="119" t="s">
        <v>1172</v>
      </c>
      <c r="D30" s="308" t="s">
        <v>1446</v>
      </c>
      <c r="E30" s="308"/>
      <c r="F30" s="308"/>
      <c r="G30" s="308"/>
      <c r="H30" s="308"/>
      <c r="I30" s="308"/>
      <c r="J30" s="308"/>
      <c r="K30" s="308"/>
      <c r="L30" s="126" t="s">
        <v>1174</v>
      </c>
    </row>
    <row r="31" spans="2:12" s="104" customFormat="1" ht="67.5" customHeight="1" thickTop="1" thickBot="1">
      <c r="B31" s="119" t="s">
        <v>1436</v>
      </c>
      <c r="D31" s="308" t="s">
        <v>1211</v>
      </c>
      <c r="E31" s="308"/>
      <c r="F31" s="308"/>
      <c r="G31" s="308"/>
      <c r="H31" s="308"/>
      <c r="I31" s="308"/>
      <c r="J31" s="308"/>
      <c r="K31" s="308"/>
      <c r="L31" s="126" t="s">
        <v>1174</v>
      </c>
    </row>
    <row r="32" spans="2:12" s="104" customFormat="1" thickTop="1">
      <c r="B32" s="120"/>
      <c r="D32" s="107"/>
      <c r="L32" s="108"/>
    </row>
    <row r="33" spans="2:12" s="104" customFormat="1" ht="18.75" customHeight="1">
      <c r="B33" s="121" t="s">
        <v>1569</v>
      </c>
      <c r="C33" s="122"/>
      <c r="D33" s="123"/>
      <c r="E33" s="122"/>
      <c r="F33" s="122"/>
      <c r="G33" s="122"/>
      <c r="H33" s="122"/>
      <c r="I33" s="122"/>
      <c r="J33" s="122"/>
      <c r="K33" s="122"/>
      <c r="L33" s="124"/>
    </row>
    <row r="34" spans="2:12" s="104" customFormat="1" ht="59.25" customHeight="1">
      <c r="B34" s="310" t="s">
        <v>1447</v>
      </c>
      <c r="C34" s="310"/>
      <c r="D34" s="310"/>
      <c r="E34" s="310"/>
      <c r="F34" s="310"/>
      <c r="G34" s="310"/>
      <c r="H34" s="310"/>
      <c r="I34" s="310"/>
      <c r="J34" s="310"/>
      <c r="K34" s="310"/>
      <c r="L34" s="310"/>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O57"/>
  <sheetViews>
    <sheetView tabSelected="1" zoomScale="148" zoomScaleNormal="148"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14.125" style="144" customWidth="1"/>
    <col min="16" max="16" width="9.875" style="145" bestFit="1" customWidth="1"/>
    <col min="17" max="17" width="9.875" style="240" customWidth="1"/>
    <col min="18" max="18" width="9.875" style="145" bestFit="1" customWidth="1"/>
    <col min="19" max="19" width="7.625" style="146" hidden="1" customWidth="1"/>
    <col min="20" max="20" width="6.375" style="147" bestFit="1" customWidth="1"/>
    <col min="21" max="21" width="4.875" style="147" bestFit="1" customWidth="1"/>
    <col min="22" max="22" width="5.875" style="147" bestFit="1" customWidth="1"/>
    <col min="23" max="23" width="5" style="147" bestFit="1" customWidth="1"/>
    <col min="24" max="25" width="9.75" style="145" hidden="1" customWidth="1"/>
    <col min="26" max="26" width="7.5" style="148" hidden="1" customWidth="1"/>
    <col min="27" max="27" width="6" style="149" hidden="1" customWidth="1"/>
    <col min="28" max="28" width="6.125" style="147" hidden="1" customWidth="1"/>
    <col min="29" max="29" width="20.625" style="146" bestFit="1" customWidth="1"/>
    <col min="30" max="30" width="10.25" style="150" bestFit="1" customWidth="1"/>
    <col min="31" max="31" width="7.75" style="151" bestFit="1" customWidth="1"/>
    <col min="32" max="32" width="7.25" style="152" customWidth="1"/>
    <col min="33" max="67" width="1.875" style="142" customWidth="1"/>
    <col min="68" max="16384" width="10" style="142"/>
  </cols>
  <sheetData>
    <row r="1" spans="1:67" s="139" customFormat="1" ht="20.100000000000001" customHeight="1">
      <c r="A1" s="153"/>
      <c r="B1" s="154"/>
      <c r="C1" s="155"/>
      <c r="D1" s="186" t="str" cm="1">
        <f t="array" aca="1" ref="D1" ca="1">xlgantt.ProjectName()</f>
        <v>맛알림</v>
      </c>
      <c r="E1" s="156"/>
      <c r="F1" s="156"/>
      <c r="G1" s="156"/>
      <c r="H1" s="156"/>
      <c r="I1" s="156"/>
      <c r="J1" s="156"/>
      <c r="K1" s="156"/>
      <c r="L1" s="156"/>
      <c r="M1" s="156"/>
      <c r="N1" s="156"/>
      <c r="O1" s="156"/>
      <c r="P1" s="156"/>
      <c r="Q1" s="290"/>
      <c r="R1" s="157"/>
      <c r="S1" s="158"/>
      <c r="T1" s="159"/>
      <c r="U1" s="160"/>
      <c r="V1" s="161"/>
      <c r="W1" s="161"/>
      <c r="X1" s="162"/>
      <c r="Y1" s="162"/>
      <c r="Z1" s="154"/>
      <c r="AA1" s="163"/>
      <c r="AB1" s="164"/>
      <c r="AC1" s="165"/>
      <c r="AD1" s="166"/>
      <c r="AE1" s="167"/>
      <c r="AF1" s="168" t="str" cm="1">
        <f t="array" aca="1" ref="AF1" ca="1">xlgantt.ProjectProgressString()</f>
        <v>2021-11-12~2021-12-10 [계획:4.35% 실적:4.35%]</v>
      </c>
      <c r="AG1" s="174" t="s">
        <v>1566</v>
      </c>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row>
    <row r="2" spans="1:67" s="139" customFormat="1" ht="15" customHeight="1">
      <c r="A2" s="153"/>
      <c r="B2" s="153"/>
      <c r="C2" s="155"/>
      <c r="D2" s="338"/>
      <c r="E2" s="338"/>
      <c r="F2" s="338"/>
      <c r="G2" s="169"/>
      <c r="H2" s="170"/>
      <c r="I2" s="169"/>
      <c r="J2" s="169"/>
      <c r="K2" s="169"/>
      <c r="L2" s="169"/>
      <c r="M2" s="169"/>
      <c r="N2" s="169"/>
      <c r="O2" s="169"/>
      <c r="P2" s="169"/>
      <c r="Q2" s="169"/>
      <c r="R2" s="169"/>
      <c r="S2" s="169"/>
      <c r="T2" s="171"/>
      <c r="U2" s="171"/>
      <c r="V2" s="171"/>
      <c r="W2" s="171"/>
      <c r="X2" s="169"/>
      <c r="Y2" s="169"/>
      <c r="Z2" s="169"/>
      <c r="AA2" s="169"/>
      <c r="AB2" s="169"/>
      <c r="AC2" s="169"/>
      <c r="AD2" s="172"/>
      <c r="AE2" s="173"/>
      <c r="AF2" s="169" t="str" cm="1">
        <f t="array" aca="1" ref="AF2" ca="1">xlgantt.CommentOnHeadArea()</f>
        <v>별(*)표시는 필수입력</v>
      </c>
      <c r="AG2" s="337" t="s">
        <v>1307</v>
      </c>
      <c r="AH2" s="337"/>
      <c r="AI2" s="337"/>
      <c r="AJ2" s="337"/>
      <c r="AK2" s="337" t="s">
        <v>1669</v>
      </c>
      <c r="AL2" s="337"/>
      <c r="AM2" s="337"/>
      <c r="AN2" s="337"/>
      <c r="AO2" s="303"/>
      <c r="AP2" s="303"/>
      <c r="AQ2" s="303"/>
      <c r="AR2" s="303"/>
      <c r="AS2" s="303"/>
      <c r="AT2" s="303"/>
      <c r="AU2" s="303"/>
      <c r="AV2" s="303"/>
      <c r="AW2" s="303"/>
      <c r="AX2" s="303"/>
      <c r="AY2" s="303"/>
      <c r="AZ2" s="303"/>
      <c r="BA2" s="303"/>
      <c r="BB2" s="303"/>
      <c r="BC2" s="303"/>
      <c r="BD2" s="303"/>
      <c r="BE2" s="303"/>
      <c r="BF2" s="303"/>
      <c r="BG2" s="303"/>
      <c r="BH2" s="303"/>
      <c r="BI2" s="303"/>
      <c r="BJ2" s="303"/>
      <c r="BK2" s="303"/>
      <c r="BL2" s="303"/>
      <c r="BM2" s="303"/>
      <c r="BN2" s="303"/>
      <c r="BO2" s="303"/>
    </row>
    <row r="3" spans="1:67" s="140" customFormat="1" ht="18.95" customHeight="1">
      <c r="A3" s="321" t="s">
        <v>554</v>
      </c>
      <c r="B3" s="323" t="s">
        <v>549</v>
      </c>
      <c r="C3" s="325" t="s">
        <v>556</v>
      </c>
      <c r="D3" s="326" t="s">
        <v>550</v>
      </c>
      <c r="E3" s="328" t="s">
        <v>1465</v>
      </c>
      <c r="F3" s="329"/>
      <c r="G3" s="329"/>
      <c r="H3" s="329"/>
      <c r="I3" s="329"/>
      <c r="J3" s="329"/>
      <c r="K3" s="329"/>
      <c r="L3" s="329"/>
      <c r="M3" s="329"/>
      <c r="N3" s="329"/>
      <c r="O3" s="319" t="s">
        <v>1466</v>
      </c>
      <c r="P3" s="319" t="s">
        <v>1467</v>
      </c>
      <c r="Q3" s="237"/>
      <c r="R3" s="319" t="s">
        <v>1468</v>
      </c>
      <c r="S3" s="344" t="s">
        <v>1367</v>
      </c>
      <c r="T3" s="339" t="s">
        <v>1469</v>
      </c>
      <c r="U3" s="346" t="s">
        <v>1470</v>
      </c>
      <c r="V3" s="339" t="s">
        <v>1471</v>
      </c>
      <c r="W3" s="339" t="s">
        <v>1472</v>
      </c>
      <c r="X3" s="341" t="s">
        <v>1473</v>
      </c>
      <c r="Y3" s="341" t="s">
        <v>1474</v>
      </c>
      <c r="Z3" s="348" t="s">
        <v>1475</v>
      </c>
      <c r="AA3" s="342" t="s">
        <v>1476</v>
      </c>
      <c r="AB3" s="331" t="s">
        <v>1477</v>
      </c>
      <c r="AC3" s="319" t="s">
        <v>1478</v>
      </c>
      <c r="AD3" s="333" t="s">
        <v>1479</v>
      </c>
      <c r="AE3" s="317" t="s">
        <v>1480</v>
      </c>
      <c r="AF3" s="350" t="s">
        <v>1481</v>
      </c>
      <c r="AG3" s="334" t="s">
        <v>1667</v>
      </c>
      <c r="AH3" s="335"/>
      <c r="AI3" s="335"/>
      <c r="AJ3" s="335"/>
      <c r="AK3" s="362" t="s">
        <v>1668</v>
      </c>
      <c r="AL3" s="335"/>
      <c r="AM3" s="335"/>
      <c r="AN3" s="336"/>
    </row>
    <row r="4" spans="1:67" s="141" customFormat="1" ht="6" customHeight="1">
      <c r="A4" s="322"/>
      <c r="B4" s="324"/>
      <c r="C4" s="321"/>
      <c r="D4" s="327"/>
      <c r="E4" s="330"/>
      <c r="F4" s="329"/>
      <c r="G4" s="329"/>
      <c r="H4" s="329"/>
      <c r="I4" s="329"/>
      <c r="J4" s="329"/>
      <c r="K4" s="329"/>
      <c r="L4" s="329"/>
      <c r="M4" s="329"/>
      <c r="N4" s="329"/>
      <c r="O4" s="320"/>
      <c r="P4" s="320"/>
      <c r="Q4" s="237"/>
      <c r="R4" s="320"/>
      <c r="S4" s="345"/>
      <c r="T4" s="340"/>
      <c r="U4" s="347"/>
      <c r="V4" s="340"/>
      <c r="W4" s="340"/>
      <c r="X4" s="320"/>
      <c r="Y4" s="320"/>
      <c r="Z4" s="349"/>
      <c r="AA4" s="343"/>
      <c r="AB4" s="332"/>
      <c r="AC4" s="320"/>
      <c r="AD4" s="327"/>
      <c r="AE4" s="318"/>
      <c r="AF4" s="351"/>
      <c r="AG4" s="187">
        <v>44507</v>
      </c>
      <c r="AH4" s="188">
        <v>44514</v>
      </c>
      <c r="AI4" s="188">
        <v>44521</v>
      </c>
      <c r="AJ4" s="188">
        <v>44528</v>
      </c>
      <c r="AK4" s="188">
        <v>44535</v>
      </c>
      <c r="AL4" s="363"/>
      <c r="AM4" s="363"/>
      <c r="AN4" s="364"/>
      <c r="AO4" s="218"/>
      <c r="AP4" s="218"/>
      <c r="AQ4" s="218"/>
      <c r="AR4" s="218"/>
      <c r="AS4" s="218"/>
      <c r="AT4" s="218"/>
      <c r="AU4" s="218"/>
      <c r="AV4" s="218"/>
      <c r="AW4" s="218"/>
      <c r="AX4" s="218"/>
      <c r="AY4" s="218"/>
      <c r="AZ4" s="218"/>
      <c r="BA4" s="218"/>
      <c r="BB4" s="218"/>
      <c r="BC4" s="218"/>
      <c r="BD4" s="218"/>
      <c r="BE4" s="218"/>
      <c r="BF4" s="218"/>
      <c r="BG4" s="218"/>
      <c r="BH4" s="218"/>
      <c r="BI4" s="218"/>
      <c r="BJ4" s="218"/>
      <c r="BK4" s="218"/>
      <c r="BL4" s="218"/>
      <c r="BM4" s="218"/>
      <c r="BN4" s="218"/>
      <c r="BO4" s="218"/>
    </row>
    <row r="5" spans="1:67" ht="12" customHeight="1">
      <c r="A5" s="203"/>
      <c r="B5" s="203" t="s">
        <v>1482</v>
      </c>
      <c r="C5" s="203">
        <v>1</v>
      </c>
      <c r="D5" s="216" t="s">
        <v>1023</v>
      </c>
      <c r="E5" s="204" t="s">
        <v>1620</v>
      </c>
      <c r="F5" s="204"/>
      <c r="G5" s="204"/>
      <c r="H5" s="204"/>
      <c r="I5" s="204"/>
      <c r="J5" s="204"/>
      <c r="K5" s="204"/>
      <c r="L5" s="204"/>
      <c r="M5" s="204"/>
      <c r="N5" s="204"/>
      <c r="O5" s="204"/>
      <c r="P5" s="241">
        <v>44512</v>
      </c>
      <c r="Q5" s="242"/>
      <c r="R5" s="241">
        <v>44540</v>
      </c>
      <c r="S5" s="206"/>
      <c r="T5" s="207">
        <v>23</v>
      </c>
      <c r="U5" s="207">
        <v>1</v>
      </c>
      <c r="V5" s="207">
        <v>21</v>
      </c>
      <c r="W5" s="207">
        <v>1</v>
      </c>
      <c r="X5" s="205"/>
      <c r="Y5" s="205"/>
      <c r="Z5" s="208">
        <v>0</v>
      </c>
      <c r="AA5" s="209">
        <v>0</v>
      </c>
      <c r="AB5" s="207"/>
      <c r="AC5" s="206"/>
      <c r="AD5" s="210"/>
      <c r="AE5" s="211">
        <v>4.3478260869565216E-2</v>
      </c>
      <c r="AF5" s="219">
        <v>4.3478260869565216E-2</v>
      </c>
      <c r="AG5" s="190" t="str">
        <f>"      " &amp; TEXT(AF5,"#0.00%") &amp; " "</f>
        <v xml:space="preserve">      4.35% </v>
      </c>
      <c r="AH5" s="191"/>
      <c r="AI5" s="191"/>
      <c r="AJ5" s="191"/>
      <c r="AK5" s="191" t="str">
        <f>"      " &amp; "모바일 프로젝트" &amp; " " &amp; IF(P5="","",TEXT(P5,"M/D-")) &amp; IF(R5="","",TEXT(R5,"M/D")) &amp; " "</f>
        <v xml:space="preserve">      모바일 프로젝트 11/12-12/10 </v>
      </c>
      <c r="AL5" s="191"/>
      <c r="AM5" s="189"/>
      <c r="AN5" s="189"/>
    </row>
    <row r="6" spans="1:67" ht="12" customHeight="1" outlineLevel="1">
      <c r="A6" s="203"/>
      <c r="B6" s="203" t="s">
        <v>1482</v>
      </c>
      <c r="C6" s="203">
        <v>2</v>
      </c>
      <c r="D6" s="216" t="s">
        <v>1097</v>
      </c>
      <c r="E6" s="204"/>
      <c r="F6" s="204" t="s">
        <v>1621</v>
      </c>
      <c r="G6" s="204"/>
      <c r="H6" s="204"/>
      <c r="I6" s="204"/>
      <c r="J6" s="204"/>
      <c r="K6" s="204"/>
      <c r="L6" s="204"/>
      <c r="M6" s="204"/>
      <c r="N6" s="204"/>
      <c r="O6" s="204"/>
      <c r="P6" s="205">
        <v>44512</v>
      </c>
      <c r="Q6" s="238"/>
      <c r="R6" s="205">
        <v>44512</v>
      </c>
      <c r="S6" s="206"/>
      <c r="T6" s="207">
        <v>1</v>
      </c>
      <c r="U6" s="207">
        <v>1</v>
      </c>
      <c r="V6" s="207">
        <v>1</v>
      </c>
      <c r="W6" s="207">
        <v>1</v>
      </c>
      <c r="X6" s="205"/>
      <c r="Y6" s="205"/>
      <c r="Z6" s="208">
        <v>0</v>
      </c>
      <c r="AA6" s="209">
        <v>0</v>
      </c>
      <c r="AB6" s="207"/>
      <c r="AC6" s="206"/>
      <c r="AD6" s="210"/>
      <c r="AE6" s="211">
        <v>1</v>
      </c>
      <c r="AF6" s="219">
        <v>1</v>
      </c>
      <c r="AG6" s="190" t="str">
        <f>"      " &amp; TEXT(AF6,"#0.00%") &amp; " " &amp; "자료 수집" &amp; " " &amp; IF(P6="","",TEXT(P6,"M/D-")) &amp; IF(R6="","",TEXT(R6,"M/D")) &amp; " "</f>
        <v xml:space="preserve">      100.00% 자료 수집 11/12-11/12 </v>
      </c>
      <c r="AH6" s="191"/>
      <c r="AI6" s="191"/>
      <c r="AJ6" s="191"/>
      <c r="AK6" s="191"/>
      <c r="AL6" s="191"/>
    </row>
    <row r="7" spans="1:67" ht="12" customHeight="1" outlineLevel="2">
      <c r="A7" s="203"/>
      <c r="B7" s="203"/>
      <c r="C7" s="203">
        <v>3</v>
      </c>
      <c r="D7" s="216" t="s">
        <v>1098</v>
      </c>
      <c r="E7" s="204"/>
      <c r="F7" s="204"/>
      <c r="G7" s="204" t="s">
        <v>1622</v>
      </c>
      <c r="H7" s="204"/>
      <c r="I7" s="204"/>
      <c r="J7" s="204"/>
      <c r="K7" s="204"/>
      <c r="L7" s="204"/>
      <c r="M7" s="204"/>
      <c r="N7" s="204"/>
      <c r="O7" s="204"/>
      <c r="P7" s="205">
        <v>44512</v>
      </c>
      <c r="Q7" s="238"/>
      <c r="R7" s="205">
        <v>44512</v>
      </c>
      <c r="S7" s="206"/>
      <c r="T7" s="207">
        <v>1</v>
      </c>
      <c r="U7" s="207">
        <v>1</v>
      </c>
      <c r="V7" s="207">
        <v>1</v>
      </c>
      <c r="W7" s="207">
        <v>1</v>
      </c>
      <c r="X7" s="205"/>
      <c r="Y7" s="205"/>
      <c r="Z7" s="208"/>
      <c r="AA7" s="209">
        <v>0</v>
      </c>
      <c r="AB7" s="207"/>
      <c r="AC7" s="206"/>
      <c r="AD7" s="210"/>
      <c r="AE7" s="211">
        <v>1</v>
      </c>
      <c r="AF7" s="213">
        <v>1</v>
      </c>
      <c r="AG7" s="190" t="str">
        <f>"      " &amp; TEXT(AF7,"#0.00%") &amp; " " &amp; "맛집 데이터 수집" &amp; " " &amp; IF(P7="","",TEXT(P7,"M/D-")) &amp; IF(R7="","",TEXT(R7,"M/D")) &amp; " "</f>
        <v xml:space="preserve">      100.00% 맛집 데이터 수집 11/12-11/12 </v>
      </c>
      <c r="AH7" s="191"/>
      <c r="AI7" s="191"/>
      <c r="AJ7" s="191"/>
      <c r="AK7" s="191"/>
      <c r="AL7" s="191"/>
    </row>
    <row r="8" spans="1:67" ht="12" customHeight="1" outlineLevel="1">
      <c r="A8" s="203"/>
      <c r="B8" s="203" t="s">
        <v>1482</v>
      </c>
      <c r="C8" s="203">
        <v>2</v>
      </c>
      <c r="D8" s="216" t="s">
        <v>1100</v>
      </c>
      <c r="E8" s="204"/>
      <c r="F8" s="204" t="s">
        <v>1626</v>
      </c>
      <c r="G8" s="204"/>
      <c r="H8" s="204"/>
      <c r="I8" s="204"/>
      <c r="J8" s="204"/>
      <c r="K8" s="204"/>
      <c r="L8" s="204"/>
      <c r="M8" s="204"/>
      <c r="N8" s="204"/>
      <c r="O8" s="204"/>
      <c r="P8" s="205">
        <v>44513</v>
      </c>
      <c r="Q8" s="238"/>
      <c r="R8" s="205">
        <v>44513</v>
      </c>
      <c r="S8" s="206"/>
      <c r="T8" s="207">
        <v>0</v>
      </c>
      <c r="U8" s="207">
        <v>0</v>
      </c>
      <c r="V8" s="207">
        <v>0</v>
      </c>
      <c r="W8" s="207">
        <v>0</v>
      </c>
      <c r="X8" s="205"/>
      <c r="Y8" s="205"/>
      <c r="Z8" s="208">
        <v>0</v>
      </c>
      <c r="AA8" s="209">
        <v>0</v>
      </c>
      <c r="AB8" s="207"/>
      <c r="AC8" s="206"/>
      <c r="AD8" s="210"/>
      <c r="AE8" s="211">
        <v>0</v>
      </c>
      <c r="AF8" s="219">
        <v>0</v>
      </c>
      <c r="AG8" s="190" t="str">
        <f>"      " &amp; TEXT(AF8,"#0.00%") &amp; " " &amp; "로그인 엑티비티 구현" &amp; " " &amp; IF(P8="","",TEXT(P8,"M/D-")) &amp; IF(R8="","",TEXT(R8,"M/D")) &amp; " "</f>
        <v xml:space="preserve">      0.00% 로그인 엑티비티 구현 11/13-11/13 </v>
      </c>
      <c r="AH8" s="191"/>
      <c r="AI8" s="191"/>
      <c r="AJ8" s="191"/>
      <c r="AK8" s="191"/>
      <c r="AL8" s="191"/>
    </row>
    <row r="9" spans="1:67" ht="12" customHeight="1" outlineLevel="2">
      <c r="A9" s="203"/>
      <c r="B9" s="203"/>
      <c r="C9" s="203">
        <v>3</v>
      </c>
      <c r="D9" s="216" t="s">
        <v>1101</v>
      </c>
      <c r="E9" s="204"/>
      <c r="F9" s="204"/>
      <c r="G9" s="204" t="s">
        <v>1623</v>
      </c>
      <c r="H9" s="204"/>
      <c r="I9" s="204"/>
      <c r="J9" s="204"/>
      <c r="K9" s="204"/>
      <c r="L9" s="204"/>
      <c r="M9" s="204"/>
      <c r="N9" s="204"/>
      <c r="O9" s="204"/>
      <c r="P9" s="205">
        <v>44513</v>
      </c>
      <c r="Q9" s="238"/>
      <c r="R9" s="205">
        <v>44513</v>
      </c>
      <c r="S9" s="206"/>
      <c r="T9" s="207">
        <v>0</v>
      </c>
      <c r="U9" s="207">
        <v>0</v>
      </c>
      <c r="V9" s="207">
        <v>0</v>
      </c>
      <c r="W9" s="207">
        <v>0</v>
      </c>
      <c r="X9" s="205"/>
      <c r="Y9" s="205"/>
      <c r="Z9" s="208"/>
      <c r="AA9" s="209">
        <v>0</v>
      </c>
      <c r="AB9" s="207"/>
      <c r="AC9" s="206"/>
      <c r="AD9" s="210"/>
      <c r="AE9" s="211">
        <v>0</v>
      </c>
      <c r="AF9" s="365">
        <v>0.95</v>
      </c>
      <c r="AG9" s="190"/>
      <c r="AH9" s="191" t="str">
        <f>"" &amp; TEXT(AF9,"#0.00%") &amp; " " &amp; "로그인 자바 코드 구현(클라이언트)" &amp; " " &amp; IF(P9="","",TEXT(P9,"M/D-")) &amp; IF(R9="","",TEXT(R9,"M/D")) &amp; " "</f>
        <v xml:space="preserve">95.00% 로그인 자바 코드 구현(클라이언트) 11/13-11/13 </v>
      </c>
      <c r="AI9" s="191"/>
      <c r="AJ9" s="191"/>
      <c r="AK9" s="191"/>
      <c r="AL9" s="191"/>
    </row>
    <row r="10" spans="1:67" ht="12" customHeight="1" outlineLevel="2">
      <c r="A10" s="203">
        <v>1</v>
      </c>
      <c r="B10" s="203"/>
      <c r="C10" s="203">
        <v>3</v>
      </c>
      <c r="D10" s="216" t="s">
        <v>1122</v>
      </c>
      <c r="E10" s="204"/>
      <c r="F10" s="204"/>
      <c r="G10" s="204" t="s">
        <v>1624</v>
      </c>
      <c r="H10" s="204"/>
      <c r="I10" s="204"/>
      <c r="J10" s="204"/>
      <c r="K10" s="204"/>
      <c r="L10" s="204"/>
      <c r="M10" s="204"/>
      <c r="N10" s="204"/>
      <c r="O10" s="204"/>
      <c r="P10" s="205">
        <v>44513</v>
      </c>
      <c r="Q10" s="238"/>
      <c r="R10" s="205">
        <v>44513</v>
      </c>
      <c r="S10" s="206"/>
      <c r="T10" s="207">
        <v>0</v>
      </c>
      <c r="U10" s="207">
        <v>0</v>
      </c>
      <c r="V10" s="207">
        <v>0</v>
      </c>
      <c r="W10" s="207">
        <v>0</v>
      </c>
      <c r="X10" s="205"/>
      <c r="Y10" s="205"/>
      <c r="Z10" s="208"/>
      <c r="AA10" s="209">
        <v>0</v>
      </c>
      <c r="AB10" s="207"/>
      <c r="AC10" s="206"/>
      <c r="AD10" s="210"/>
      <c r="AE10" s="211">
        <v>0</v>
      </c>
      <c r="AF10" s="365">
        <v>1</v>
      </c>
      <c r="AG10" s="190" t="str">
        <f>"          " &amp; TEXT(AF10,"#0.00%") &amp; " " &amp; "로그인 UI 구현" &amp; " " &amp; IF(P10="","",TEXT(P10,"M/D-")) &amp; IF(R10="","",TEXT(R10,"M/D")) &amp; " "</f>
        <v xml:space="preserve">          100.00% 로그인 UI 구현 11/13-11/13 </v>
      </c>
      <c r="AH10" s="191"/>
      <c r="AI10" s="191"/>
      <c r="AJ10" s="191"/>
      <c r="AK10" s="191"/>
      <c r="AL10" s="191"/>
    </row>
    <row r="11" spans="1:67" ht="12" customHeight="1" outlineLevel="2">
      <c r="A11" s="203"/>
      <c r="B11" s="203"/>
      <c r="C11" s="203">
        <v>3</v>
      </c>
      <c r="D11" s="216" t="s">
        <v>1499</v>
      </c>
      <c r="E11" s="204"/>
      <c r="F11" s="204"/>
      <c r="G11" s="204" t="s">
        <v>1625</v>
      </c>
      <c r="H11" s="204"/>
      <c r="I11" s="204"/>
      <c r="J11" s="204"/>
      <c r="K11" s="204"/>
      <c r="L11" s="204"/>
      <c r="M11" s="204"/>
      <c r="N11" s="204"/>
      <c r="O11" s="204"/>
      <c r="P11" s="205">
        <v>44513</v>
      </c>
      <c r="Q11" s="238"/>
      <c r="R11" s="205">
        <v>44513</v>
      </c>
      <c r="S11" s="206"/>
      <c r="T11" s="207">
        <v>0</v>
      </c>
      <c r="U11" s="207">
        <v>0</v>
      </c>
      <c r="V11" s="207">
        <v>0</v>
      </c>
      <c r="W11" s="207">
        <v>0</v>
      </c>
      <c r="X11" s="205"/>
      <c r="Y11" s="205"/>
      <c r="Z11" s="208"/>
      <c r="AA11" s="209">
        <v>0</v>
      </c>
      <c r="AB11" s="207"/>
      <c r="AC11" s="206"/>
      <c r="AD11" s="210"/>
      <c r="AE11" s="211">
        <v>0</v>
      </c>
      <c r="AF11" s="365">
        <v>1</v>
      </c>
      <c r="AG11" s="190"/>
      <c r="AH11" s="191" t="str">
        <f>"" &amp; TEXT(AF11,"#0.00%") &amp; " " &amp; "로그인 내용 DB에 전달, 저장(서버, DB)" &amp; " " &amp; IF(P11="","",TEXT(P11,"M/D-")) &amp; IF(R11="","",TEXT(R11,"M/D")) &amp; " "</f>
        <v xml:space="preserve">100.00% 로그인 내용 DB에 전달, 저장(서버, DB) 11/13-11/13 </v>
      </c>
      <c r="AI11" s="191"/>
      <c r="AJ11" s="191"/>
      <c r="AK11" s="191"/>
      <c r="AL11" s="191"/>
    </row>
    <row r="12" spans="1:67" ht="12" customHeight="1" outlineLevel="1">
      <c r="A12" s="203"/>
      <c r="B12" s="203" t="s">
        <v>1482</v>
      </c>
      <c r="C12" s="203">
        <v>2</v>
      </c>
      <c r="D12" s="216" t="s">
        <v>1102</v>
      </c>
      <c r="E12" s="204"/>
      <c r="F12" s="204" t="s">
        <v>1627</v>
      </c>
      <c r="G12" s="204"/>
      <c r="H12" s="204"/>
      <c r="I12" s="204"/>
      <c r="J12" s="204"/>
      <c r="K12" s="204"/>
      <c r="L12" s="204"/>
      <c r="M12" s="204"/>
      <c r="N12" s="204"/>
      <c r="O12" s="204"/>
      <c r="P12" s="205">
        <v>44514</v>
      </c>
      <c r="Q12" s="238"/>
      <c r="R12" s="205">
        <v>44520</v>
      </c>
      <c r="S12" s="206"/>
      <c r="T12" s="207">
        <v>6</v>
      </c>
      <c r="U12" s="207">
        <v>0</v>
      </c>
      <c r="V12" s="207">
        <v>5</v>
      </c>
      <c r="W12" s="207">
        <v>0</v>
      </c>
      <c r="X12" s="205"/>
      <c r="Y12" s="205"/>
      <c r="Z12" s="208">
        <v>0</v>
      </c>
      <c r="AA12" s="209">
        <v>0</v>
      </c>
      <c r="AB12" s="207"/>
      <c r="AC12" s="206"/>
      <c r="AD12" s="210"/>
      <c r="AE12" s="211">
        <v>0</v>
      </c>
      <c r="AF12" s="219">
        <v>0</v>
      </c>
      <c r="AG12" s="190"/>
      <c r="AH12" s="191" t="str">
        <f>"" &amp; TEXT(AF12,"#0.00%") &amp; " " &amp; "홈 엑티비티 구현" &amp; " " &amp; IF(P12="","",TEXT(P12,"M/D-")) &amp; IF(R12="","",TEXT(R12,"M/D")) &amp; " "</f>
        <v xml:space="preserve">0.00% 홈 엑티비티 구현 11/14-11/20 </v>
      </c>
      <c r="AI12" s="191"/>
      <c r="AJ12" s="191"/>
      <c r="AK12" s="191"/>
      <c r="AL12" s="191"/>
    </row>
    <row r="13" spans="1:67" ht="12" customHeight="1" outlineLevel="2">
      <c r="A13" s="203"/>
      <c r="B13" s="203"/>
      <c r="C13" s="203">
        <v>3</v>
      </c>
      <c r="D13" s="216" t="s">
        <v>1103</v>
      </c>
      <c r="E13" s="204"/>
      <c r="F13" s="204"/>
      <c r="G13" s="204" t="s">
        <v>1628</v>
      </c>
      <c r="H13" s="204"/>
      <c r="I13" s="204"/>
      <c r="J13" s="204"/>
      <c r="K13" s="204"/>
      <c r="L13" s="204"/>
      <c r="M13" s="204"/>
      <c r="N13" s="204"/>
      <c r="O13" s="204"/>
      <c r="P13" s="205">
        <v>44514</v>
      </c>
      <c r="Q13" s="238"/>
      <c r="R13" s="205">
        <v>44514</v>
      </c>
      <c r="S13" s="206"/>
      <c r="T13" s="207">
        <v>0</v>
      </c>
      <c r="U13" s="207">
        <v>0</v>
      </c>
      <c r="V13" s="207">
        <v>0</v>
      </c>
      <c r="W13" s="207">
        <v>0</v>
      </c>
      <c r="X13" s="205"/>
      <c r="Y13" s="205"/>
      <c r="Z13" s="208"/>
      <c r="AA13" s="209">
        <v>0</v>
      </c>
      <c r="AB13" s="207"/>
      <c r="AC13" s="206"/>
      <c r="AD13" s="210"/>
      <c r="AE13" s="211">
        <v>0</v>
      </c>
      <c r="AF13" s="213">
        <v>0</v>
      </c>
      <c r="AG13" s="190"/>
      <c r="AH13" s="191" t="str">
        <f>"" &amp; TEXT(AF13,"#0.00%") &amp; " " &amp; "홈 UI 구현" &amp; " " &amp; IF(P13="","",TEXT(P13,"M/D-")) &amp; IF(R13="","",TEXT(R13,"M/D")) &amp; " "</f>
        <v xml:space="preserve">0.00% 홈 UI 구현 11/14-11/14 </v>
      </c>
      <c r="AI13" s="191"/>
      <c r="AJ13" s="191"/>
      <c r="AK13" s="191"/>
      <c r="AL13" s="191"/>
    </row>
    <row r="14" spans="1:67" ht="12" customHeight="1" outlineLevel="2">
      <c r="A14" s="203"/>
      <c r="B14" s="203"/>
      <c r="C14" s="203">
        <v>3</v>
      </c>
      <c r="D14" s="216" t="s">
        <v>1123</v>
      </c>
      <c r="E14" s="204"/>
      <c r="F14" s="204"/>
      <c r="G14" s="204" t="s">
        <v>1630</v>
      </c>
      <c r="H14" s="204"/>
      <c r="I14" s="204"/>
      <c r="J14" s="204"/>
      <c r="K14" s="204"/>
      <c r="L14" s="204"/>
      <c r="M14" s="204"/>
      <c r="N14" s="204"/>
      <c r="O14" s="204"/>
      <c r="P14" s="205">
        <v>44514</v>
      </c>
      <c r="Q14" s="238"/>
      <c r="R14" s="205">
        <v>44514</v>
      </c>
      <c r="S14" s="206"/>
      <c r="T14" s="207">
        <v>0</v>
      </c>
      <c r="U14" s="207">
        <v>0</v>
      </c>
      <c r="V14" s="207">
        <v>0</v>
      </c>
      <c r="W14" s="207">
        <v>0</v>
      </c>
      <c r="X14" s="205"/>
      <c r="Y14" s="205"/>
      <c r="Z14" s="208"/>
      <c r="AA14" s="209">
        <v>0</v>
      </c>
      <c r="AB14" s="207"/>
      <c r="AC14" s="206"/>
      <c r="AD14" s="210"/>
      <c r="AE14" s="211">
        <v>0</v>
      </c>
      <c r="AF14" s="365">
        <v>1</v>
      </c>
      <c r="AG14" s="190"/>
      <c r="AH14" s="191" t="str">
        <f>" " &amp; TEXT(AF14,"#0.00%") &amp; " " &amp; "하단 메뉴 바 구현(클라이언트)" &amp; " " &amp; IF(P14="","",TEXT(P14,"M/D-")) &amp; IF(R14="","",TEXT(R14,"M/D")) &amp; " "</f>
        <v xml:space="preserve"> 100.00% 하단 메뉴 바 구현(클라이언트) 11/14-11/14 </v>
      </c>
      <c r="AI14" s="191"/>
      <c r="AJ14" s="191"/>
      <c r="AK14" s="191"/>
      <c r="AL14" s="191"/>
    </row>
    <row r="15" spans="1:67" ht="12" customHeight="1" outlineLevel="2">
      <c r="A15" s="203">
        <v>0</v>
      </c>
      <c r="B15" s="203"/>
      <c r="C15" s="203">
        <v>3</v>
      </c>
      <c r="D15" s="216" t="s">
        <v>1505</v>
      </c>
      <c r="E15" s="204"/>
      <c r="F15" s="204"/>
      <c r="G15" s="204" t="s">
        <v>1631</v>
      </c>
      <c r="H15" s="204"/>
      <c r="I15" s="204"/>
      <c r="J15" s="204"/>
      <c r="K15" s="204"/>
      <c r="L15" s="204"/>
      <c r="M15" s="204"/>
      <c r="N15" s="204"/>
      <c r="O15" s="204"/>
      <c r="P15" s="205">
        <v>44514</v>
      </c>
      <c r="Q15" s="238"/>
      <c r="R15" s="205">
        <v>44514</v>
      </c>
      <c r="S15" s="206"/>
      <c r="T15" s="207">
        <v>0</v>
      </c>
      <c r="U15" s="207">
        <v>0</v>
      </c>
      <c r="V15" s="207">
        <v>0</v>
      </c>
      <c r="W15" s="207">
        <v>0</v>
      </c>
      <c r="X15" s="205"/>
      <c r="Y15" s="205"/>
      <c r="Z15" s="208"/>
      <c r="AA15" s="209">
        <v>0</v>
      </c>
      <c r="AB15" s="207"/>
      <c r="AC15" s="206"/>
      <c r="AD15" s="210"/>
      <c r="AE15" s="211">
        <v>0</v>
      </c>
      <c r="AF15" s="365">
        <v>1</v>
      </c>
      <c r="AG15" s="190"/>
      <c r="AH15" s="191" t="str">
        <f>" " &amp; TEXT(AF15,"#0.00%") &amp; " " &amp; "맛집 데이터 DB에 저장(DB)" &amp; " " &amp; IF(P15="","",TEXT(P15,"M/D-")) &amp; IF(R15="","",TEXT(R15,"M/D")) &amp; " "</f>
        <v xml:space="preserve"> 100.00% 맛집 데이터 DB에 저장(DB) 11/14-11/14 </v>
      </c>
      <c r="AI15" s="191"/>
      <c r="AJ15" s="191"/>
      <c r="AK15" s="191"/>
      <c r="AL15" s="191"/>
    </row>
    <row r="16" spans="1:67" ht="12" customHeight="1" outlineLevel="2">
      <c r="A16" s="203"/>
      <c r="B16" s="203"/>
      <c r="C16" s="203">
        <v>3</v>
      </c>
      <c r="D16" s="216" t="s">
        <v>1507</v>
      </c>
      <c r="E16" s="204"/>
      <c r="F16" s="204"/>
      <c r="G16" s="204" t="s">
        <v>1639</v>
      </c>
      <c r="H16" s="204"/>
      <c r="I16" s="204"/>
      <c r="J16" s="204"/>
      <c r="K16" s="204"/>
      <c r="L16" s="204"/>
      <c r="M16" s="204"/>
      <c r="N16" s="204"/>
      <c r="O16" s="204"/>
      <c r="P16" s="205">
        <v>44514</v>
      </c>
      <c r="Q16" s="238"/>
      <c r="R16" s="205">
        <v>44515</v>
      </c>
      <c r="S16" s="206"/>
      <c r="T16" s="207">
        <v>1</v>
      </c>
      <c r="U16" s="207">
        <v>0</v>
      </c>
      <c r="V16" s="207">
        <v>1</v>
      </c>
      <c r="W16" s="207">
        <v>0</v>
      </c>
      <c r="X16" s="205"/>
      <c r="Y16" s="205"/>
      <c r="Z16" s="208"/>
      <c r="AA16" s="209">
        <v>0</v>
      </c>
      <c r="AB16" s="207"/>
      <c r="AC16" s="206"/>
      <c r="AD16" s="210"/>
      <c r="AE16" s="211">
        <v>0</v>
      </c>
      <c r="AF16" s="213">
        <v>0</v>
      </c>
      <c r="AG16" s="190"/>
      <c r="AH16" s="191" t="str">
        <f>"" &amp; TEXT(AF16,"#0.00%") &amp; " " &amp; "주변 맛집 리스트 구현(클라이언트, 서버, DB)" &amp; " " &amp; IF(P16="","",TEXT(P16,"M/D-")) &amp; IF(R16="","",TEXT(R16,"M/D")) &amp; " "</f>
        <v xml:space="preserve">0.00% 주변 맛집 리스트 구현(클라이언트, 서버, DB) 11/14-11/15 </v>
      </c>
      <c r="AI16" s="191"/>
      <c r="AJ16" s="191"/>
      <c r="AK16" s="191"/>
      <c r="AL16" s="191"/>
    </row>
    <row r="17" spans="1:38" ht="12" customHeight="1" outlineLevel="2">
      <c r="A17" s="203"/>
      <c r="B17" s="203"/>
      <c r="C17" s="203">
        <v>3</v>
      </c>
      <c r="D17" s="216" t="s">
        <v>1648</v>
      </c>
      <c r="E17" s="204"/>
      <c r="F17" s="204"/>
      <c r="G17" s="204" t="s">
        <v>1629</v>
      </c>
      <c r="H17" s="204"/>
      <c r="I17" s="204"/>
      <c r="J17" s="204"/>
      <c r="K17" s="204"/>
      <c r="L17" s="204"/>
      <c r="M17" s="204"/>
      <c r="N17" s="204"/>
      <c r="O17" s="204"/>
      <c r="P17" s="205">
        <v>44516</v>
      </c>
      <c r="Q17" s="238"/>
      <c r="R17" s="205">
        <v>44518</v>
      </c>
      <c r="S17" s="206"/>
      <c r="T17" s="207">
        <v>3</v>
      </c>
      <c r="U17" s="207">
        <v>0</v>
      </c>
      <c r="V17" s="207">
        <v>3</v>
      </c>
      <c r="W17" s="207">
        <v>0</v>
      </c>
      <c r="X17" s="205"/>
      <c r="Y17" s="205"/>
      <c r="Z17" s="208"/>
      <c r="AA17" s="209">
        <v>0</v>
      </c>
      <c r="AB17" s="207"/>
      <c r="AC17" s="206"/>
      <c r="AD17" s="210"/>
      <c r="AE17" s="211">
        <v>0</v>
      </c>
      <c r="AF17" s="213">
        <v>0</v>
      </c>
      <c r="AG17" s="190"/>
      <c r="AH17" s="191" t="str">
        <f>"  " &amp; TEXT(AF17,"#0.00%") &amp; " " &amp; "GPS, 네이버 지도 내 위치 구현(클라이언트)" &amp; " " &amp; IF(P17="","",TEXT(P17,"M/D-")) &amp; IF(R17="","",TEXT(R17,"M/D")) &amp; " "</f>
        <v xml:space="preserve">  0.00% GPS, 네이버 지도 내 위치 구현(클라이언트) 11/16-11/18 </v>
      </c>
      <c r="AI17" s="191"/>
      <c r="AJ17" s="191"/>
      <c r="AK17" s="191"/>
      <c r="AL17" s="191"/>
    </row>
    <row r="18" spans="1:38" ht="12" customHeight="1" outlineLevel="2">
      <c r="A18" s="203"/>
      <c r="B18" s="203"/>
      <c r="C18" s="203">
        <v>3</v>
      </c>
      <c r="D18" s="216" t="s">
        <v>1649</v>
      </c>
      <c r="E18" s="204"/>
      <c r="F18" s="204"/>
      <c r="G18" s="204" t="s">
        <v>1633</v>
      </c>
      <c r="H18" s="204"/>
      <c r="I18" s="204"/>
      <c r="J18" s="204"/>
      <c r="K18" s="204"/>
      <c r="L18" s="204"/>
      <c r="M18" s="204"/>
      <c r="N18" s="204"/>
      <c r="O18" s="204"/>
      <c r="P18" s="205">
        <v>44518</v>
      </c>
      <c r="Q18" s="238"/>
      <c r="R18" s="205">
        <v>44520</v>
      </c>
      <c r="S18" s="206"/>
      <c r="T18" s="207">
        <v>2</v>
      </c>
      <c r="U18" s="207">
        <v>0</v>
      </c>
      <c r="V18" s="207">
        <v>2</v>
      </c>
      <c r="W18" s="207">
        <v>0</v>
      </c>
      <c r="X18" s="205"/>
      <c r="Y18" s="205"/>
      <c r="Z18" s="208"/>
      <c r="AA18" s="209">
        <v>0</v>
      </c>
      <c r="AB18" s="207"/>
      <c r="AC18" s="206"/>
      <c r="AD18" s="210"/>
      <c r="AE18" s="211">
        <v>0</v>
      </c>
      <c r="AF18" s="213">
        <v>0</v>
      </c>
      <c r="AG18" s="190"/>
      <c r="AH18" s="191" t="str">
        <f>"    " &amp; TEXT(AF18,"#0.00%") &amp; " " &amp; "가게 검색 기능 구현(클라이언트)" &amp; " " &amp; IF(P18="","",TEXT(P18,"M/D-")) &amp; IF(R18="","",TEXT(R18,"M/D")) &amp; " "</f>
        <v xml:space="preserve">    0.00% 가게 검색 기능 구현(클라이언트) 11/18-11/20 </v>
      </c>
      <c r="AI18" s="191"/>
      <c r="AJ18" s="191"/>
      <c r="AK18" s="191"/>
      <c r="AL18" s="191"/>
    </row>
    <row r="19" spans="1:38" ht="12" customHeight="1" outlineLevel="1">
      <c r="A19" s="203"/>
      <c r="B19" s="203" t="s">
        <v>1482</v>
      </c>
      <c r="C19" s="203">
        <v>2</v>
      </c>
      <c r="D19" s="216" t="s">
        <v>1124</v>
      </c>
      <c r="E19" s="204"/>
      <c r="F19" s="204" t="s">
        <v>1632</v>
      </c>
      <c r="G19" s="204"/>
      <c r="H19" s="204"/>
      <c r="I19" s="204"/>
      <c r="J19" s="204"/>
      <c r="K19" s="204"/>
      <c r="L19" s="204"/>
      <c r="M19" s="204"/>
      <c r="N19" s="204"/>
      <c r="O19" s="204"/>
      <c r="P19" s="205">
        <v>44521</v>
      </c>
      <c r="Q19" s="238"/>
      <c r="R19" s="205">
        <v>44521</v>
      </c>
      <c r="S19" s="206"/>
      <c r="T19" s="207">
        <v>0</v>
      </c>
      <c r="U19" s="207">
        <v>0</v>
      </c>
      <c r="V19" s="207">
        <v>0</v>
      </c>
      <c r="W19" s="207">
        <v>0</v>
      </c>
      <c r="X19" s="205"/>
      <c r="Y19" s="205"/>
      <c r="Z19" s="208">
        <v>0</v>
      </c>
      <c r="AA19" s="209">
        <v>0</v>
      </c>
      <c r="AB19" s="207"/>
      <c r="AC19" s="206"/>
      <c r="AD19" s="210"/>
      <c r="AE19" s="211">
        <v>0</v>
      </c>
      <c r="AF19" s="219">
        <v>0</v>
      </c>
      <c r="AG19" s="190"/>
      <c r="AH19" s="191"/>
      <c r="AI19" s="191" t="str">
        <f>"" &amp; TEXT(AF19,"#0.00%") &amp; " " &amp; "지도 엑티비티 구현" &amp; " " &amp; IF(P19="","",TEXT(P19,"M/D-")) &amp; IF(R19="","",TEXT(R19,"M/D")) &amp; " "</f>
        <v xml:space="preserve">0.00% 지도 엑티비티 구현 11/21-11/21 </v>
      </c>
      <c r="AJ19" s="191"/>
      <c r="AK19" s="191"/>
      <c r="AL19" s="191"/>
    </row>
    <row r="20" spans="1:38" ht="12" customHeight="1" outlineLevel="2">
      <c r="A20" s="203">
        <v>1</v>
      </c>
      <c r="B20" s="203"/>
      <c r="C20" s="203">
        <v>3</v>
      </c>
      <c r="D20" s="216" t="s">
        <v>1125</v>
      </c>
      <c r="E20" s="204"/>
      <c r="F20" s="204"/>
      <c r="G20" s="204" t="s">
        <v>1635</v>
      </c>
      <c r="H20" s="204"/>
      <c r="I20" s="204"/>
      <c r="J20" s="204"/>
      <c r="K20" s="204"/>
      <c r="L20" s="204"/>
      <c r="M20" s="204"/>
      <c r="N20" s="204"/>
      <c r="O20" s="204"/>
      <c r="P20" s="205">
        <v>44521</v>
      </c>
      <c r="Q20" s="238"/>
      <c r="R20" s="205">
        <v>44521</v>
      </c>
      <c r="S20" s="206"/>
      <c r="T20" s="207">
        <v>0</v>
      </c>
      <c r="U20" s="207">
        <v>0</v>
      </c>
      <c r="V20" s="207">
        <v>0</v>
      </c>
      <c r="W20" s="207">
        <v>0</v>
      </c>
      <c r="X20" s="205"/>
      <c r="Y20" s="205"/>
      <c r="Z20" s="208"/>
      <c r="AA20" s="209">
        <v>0</v>
      </c>
      <c r="AB20" s="207"/>
      <c r="AC20" s="206"/>
      <c r="AD20" s="210"/>
      <c r="AE20" s="211">
        <v>0</v>
      </c>
      <c r="AF20" s="213">
        <v>0</v>
      </c>
      <c r="AG20" s="190"/>
      <c r="AH20" s="191"/>
      <c r="AI20" s="191" t="str">
        <f>"    " &amp; TEXT(AF20,"#0.00%") &amp; " " &amp; "지도 엑티비티 UI 구현" &amp; " " &amp; IF(P20="","",TEXT(P20,"M/D-")) &amp; IF(R20="","",TEXT(R20,"M/D")) &amp; " "</f>
        <v xml:space="preserve">    0.00% 지도 엑티비티 UI 구현 11/21-11/21 </v>
      </c>
      <c r="AJ20" s="191"/>
      <c r="AK20" s="191"/>
      <c r="AL20" s="191"/>
    </row>
    <row r="21" spans="1:38" ht="12" customHeight="1" outlineLevel="2">
      <c r="A21" s="203"/>
      <c r="B21" s="203"/>
      <c r="C21" s="203">
        <v>3</v>
      </c>
      <c r="D21" s="216" t="s">
        <v>1126</v>
      </c>
      <c r="E21" s="204"/>
      <c r="F21" s="204"/>
      <c r="G21" s="204" t="s">
        <v>1629</v>
      </c>
      <c r="H21" s="204"/>
      <c r="I21" s="204"/>
      <c r="J21" s="204"/>
      <c r="K21" s="204"/>
      <c r="L21" s="204"/>
      <c r="M21" s="204"/>
      <c r="N21" s="204"/>
      <c r="O21" s="204"/>
      <c r="P21" s="205">
        <v>44521</v>
      </c>
      <c r="Q21" s="238"/>
      <c r="R21" s="205">
        <v>44521</v>
      </c>
      <c r="S21" s="206"/>
      <c r="T21" s="207">
        <v>0</v>
      </c>
      <c r="U21" s="207">
        <v>0</v>
      </c>
      <c r="V21" s="207">
        <v>0</v>
      </c>
      <c r="W21" s="207">
        <v>0</v>
      </c>
      <c r="X21" s="205"/>
      <c r="Y21" s="205"/>
      <c r="Z21" s="208"/>
      <c r="AA21" s="209">
        <v>0</v>
      </c>
      <c r="AB21" s="207"/>
      <c r="AC21" s="206"/>
      <c r="AD21" s="210"/>
      <c r="AE21" s="211">
        <v>0</v>
      </c>
      <c r="AF21" s="213">
        <v>0</v>
      </c>
      <c r="AG21" s="190"/>
      <c r="AH21" s="191"/>
      <c r="AI21" s="191" t="str">
        <f>"" &amp; TEXT(AF21,"#0.00%") &amp; " " &amp; "GPS, 네이버 지도 내 위치 구현(클라이언트)" &amp; " " &amp; IF(P21="","",TEXT(P21,"M/D-")) &amp; IF(R21="","",TEXT(R21,"M/D")) &amp; " "</f>
        <v xml:space="preserve">0.00% GPS, 네이버 지도 내 위치 구현(클라이언트) 11/21-11/21 </v>
      </c>
      <c r="AJ21" s="191"/>
      <c r="AK21" s="191"/>
      <c r="AL21" s="191"/>
    </row>
    <row r="22" spans="1:38" ht="12" customHeight="1" outlineLevel="2">
      <c r="A22" s="203"/>
      <c r="B22" s="203"/>
      <c r="C22" s="203">
        <v>3</v>
      </c>
      <c r="D22" s="216" t="s">
        <v>1127</v>
      </c>
      <c r="E22" s="204"/>
      <c r="F22" s="204"/>
      <c r="G22" s="204" t="s">
        <v>1633</v>
      </c>
      <c r="H22" s="204"/>
      <c r="I22" s="204"/>
      <c r="J22" s="204"/>
      <c r="K22" s="204"/>
      <c r="L22" s="204"/>
      <c r="M22" s="204"/>
      <c r="N22" s="204"/>
      <c r="O22" s="204"/>
      <c r="P22" s="205">
        <v>44521</v>
      </c>
      <c r="Q22" s="238"/>
      <c r="R22" s="205">
        <v>44521</v>
      </c>
      <c r="S22" s="206"/>
      <c r="T22" s="207">
        <v>0</v>
      </c>
      <c r="U22" s="207">
        <v>0</v>
      </c>
      <c r="V22" s="207">
        <v>0</v>
      </c>
      <c r="W22" s="207">
        <v>0</v>
      </c>
      <c r="X22" s="205"/>
      <c r="Y22" s="205"/>
      <c r="Z22" s="208"/>
      <c r="AA22" s="209">
        <v>0</v>
      </c>
      <c r="AB22" s="207"/>
      <c r="AC22" s="206"/>
      <c r="AD22" s="210"/>
      <c r="AE22" s="211">
        <v>0</v>
      </c>
      <c r="AF22" s="213">
        <v>0</v>
      </c>
      <c r="AG22" s="190"/>
      <c r="AH22" s="191"/>
      <c r="AI22" s="191" t="str">
        <f>"" &amp; TEXT(AF22,"#0.00%") &amp; " " &amp; "가게 검색 기능 구현(클라이언트)" &amp; " " &amp; IF(P22="","",TEXT(P22,"M/D-")) &amp; IF(R22="","",TEXT(R22,"M/D")) &amp; " "</f>
        <v xml:space="preserve">0.00% 가게 검색 기능 구현(클라이언트) 11/21-11/21 </v>
      </c>
      <c r="AJ22" s="191"/>
      <c r="AK22" s="191"/>
      <c r="AL22" s="191"/>
    </row>
    <row r="23" spans="1:38" ht="12" customHeight="1" outlineLevel="1">
      <c r="A23" s="203"/>
      <c r="B23" s="203" t="s">
        <v>1482</v>
      </c>
      <c r="C23" s="203">
        <v>2</v>
      </c>
      <c r="D23" s="216" t="s">
        <v>1650</v>
      </c>
      <c r="E23" s="204"/>
      <c r="F23" s="204" t="s">
        <v>1634</v>
      </c>
      <c r="G23" s="204"/>
      <c r="H23" s="204"/>
      <c r="I23" s="204"/>
      <c r="J23" s="204"/>
      <c r="K23" s="204"/>
      <c r="L23" s="204"/>
      <c r="M23" s="204"/>
      <c r="N23" s="204"/>
      <c r="O23" s="204"/>
      <c r="P23" s="205">
        <v>44521</v>
      </c>
      <c r="Q23" s="238"/>
      <c r="R23" s="205">
        <v>44531</v>
      </c>
      <c r="S23" s="206"/>
      <c r="T23" s="207">
        <v>8</v>
      </c>
      <c r="U23" s="207">
        <v>0</v>
      </c>
      <c r="V23" s="207">
        <v>8</v>
      </c>
      <c r="W23" s="207">
        <v>0</v>
      </c>
      <c r="X23" s="205"/>
      <c r="Y23" s="205"/>
      <c r="Z23" s="208">
        <v>0</v>
      </c>
      <c r="AA23" s="209">
        <v>0</v>
      </c>
      <c r="AB23" s="207"/>
      <c r="AC23" s="206"/>
      <c r="AD23" s="210"/>
      <c r="AE23" s="211">
        <v>0</v>
      </c>
      <c r="AF23" s="219">
        <v>0</v>
      </c>
      <c r="AG23" s="190"/>
      <c r="AH23" s="191"/>
      <c r="AI23" s="191" t="str">
        <f>"" &amp; TEXT(AF23,"#0.00%") &amp; " " &amp; "리뷰 엑티비티 구현" &amp; " " &amp; IF(P23="","",TEXT(P23,"M/D-")) &amp; IF(R23="","",TEXT(R23,"M/D")) &amp; " "</f>
        <v xml:space="preserve">0.00% 리뷰 엑티비티 구현 11/21-12/1 </v>
      </c>
      <c r="AJ23" s="191"/>
      <c r="AK23" s="191"/>
      <c r="AL23" s="191"/>
    </row>
    <row r="24" spans="1:38" ht="12" customHeight="1" outlineLevel="2">
      <c r="A24" s="203"/>
      <c r="B24" s="203"/>
      <c r="C24" s="203">
        <v>3</v>
      </c>
      <c r="D24" s="216" t="s">
        <v>1651</v>
      </c>
      <c r="E24" s="204"/>
      <c r="F24" s="204"/>
      <c r="G24" s="204" t="s">
        <v>1636</v>
      </c>
      <c r="H24" s="204"/>
      <c r="I24" s="204"/>
      <c r="J24" s="204"/>
      <c r="K24" s="204"/>
      <c r="L24" s="204"/>
      <c r="M24" s="204"/>
      <c r="N24" s="204"/>
      <c r="O24" s="204"/>
      <c r="P24" s="205">
        <v>44521</v>
      </c>
      <c r="Q24" s="238"/>
      <c r="R24" s="205">
        <v>44521</v>
      </c>
      <c r="S24" s="206"/>
      <c r="T24" s="207">
        <v>0</v>
      </c>
      <c r="U24" s="207">
        <v>0</v>
      </c>
      <c r="V24" s="207">
        <v>0</v>
      </c>
      <c r="W24" s="207">
        <v>0</v>
      </c>
      <c r="X24" s="205"/>
      <c r="Y24" s="205"/>
      <c r="Z24" s="208"/>
      <c r="AA24" s="209">
        <v>0</v>
      </c>
      <c r="AB24" s="207"/>
      <c r="AC24" s="206"/>
      <c r="AD24" s="210"/>
      <c r="AE24" s="211">
        <v>0</v>
      </c>
      <c r="AF24" s="213">
        <v>0</v>
      </c>
      <c r="AG24" s="190"/>
      <c r="AH24" s="191"/>
      <c r="AI24" s="191" t="str">
        <f>"" &amp; TEXT(AF24,"#0.00%") &amp; " " &amp; "리뷰 엑티비티 UI 구현" &amp; " " &amp; IF(P24="","",TEXT(P24,"M/D-")) &amp; IF(R24="","",TEXT(R24,"M/D")) &amp; " "</f>
        <v xml:space="preserve">0.00% 리뷰 엑티비티 UI 구현 11/21-11/21 </v>
      </c>
      <c r="AJ24" s="191"/>
      <c r="AK24" s="191"/>
      <c r="AL24" s="191"/>
    </row>
    <row r="25" spans="1:38" ht="12" customHeight="1" outlineLevel="2">
      <c r="A25" s="203"/>
      <c r="B25" s="203"/>
      <c r="C25" s="203">
        <v>3</v>
      </c>
      <c r="D25" s="216" t="s">
        <v>1652</v>
      </c>
      <c r="E25" s="204"/>
      <c r="F25" s="204"/>
      <c r="G25" s="204" t="s">
        <v>1641</v>
      </c>
      <c r="H25" s="204"/>
      <c r="I25" s="204"/>
      <c r="J25" s="204"/>
      <c r="K25" s="204"/>
      <c r="L25" s="204"/>
      <c r="M25" s="204"/>
      <c r="N25" s="204"/>
      <c r="O25" s="204"/>
      <c r="P25" s="205">
        <v>44521</v>
      </c>
      <c r="Q25" s="238"/>
      <c r="R25" s="205">
        <v>44522</v>
      </c>
      <c r="S25" s="206"/>
      <c r="T25" s="207">
        <v>1</v>
      </c>
      <c r="U25" s="207">
        <v>0</v>
      </c>
      <c r="V25" s="207">
        <v>1</v>
      </c>
      <c r="W25" s="207">
        <v>0</v>
      </c>
      <c r="X25" s="205"/>
      <c r="Y25" s="205"/>
      <c r="Z25" s="208"/>
      <c r="AA25" s="209">
        <v>0</v>
      </c>
      <c r="AB25" s="207"/>
      <c r="AC25" s="206"/>
      <c r="AD25" s="210"/>
      <c r="AE25" s="211">
        <v>0</v>
      </c>
      <c r="AF25" s="213">
        <v>0</v>
      </c>
      <c r="AG25" s="190"/>
      <c r="AH25" s="191"/>
      <c r="AI25" s="191" t="str">
        <f>"" &amp; TEXT(AF25,"#0.00%") &amp; " " &amp; "리뷰 리스트 구현(클라이언트, 서버, DB)" &amp; " " &amp; IF(P25="","",TEXT(P25,"M/D-")) &amp; IF(R25="","",TEXT(R25,"M/D")) &amp; " "</f>
        <v xml:space="preserve">0.00% 리뷰 리스트 구현(클라이언트, 서버, DB) 11/21-11/22 </v>
      </c>
      <c r="AJ25" s="191"/>
      <c r="AK25" s="191"/>
      <c r="AL25" s="191"/>
    </row>
    <row r="26" spans="1:38" ht="12" customHeight="1" outlineLevel="2">
      <c r="A26" s="203"/>
      <c r="B26" s="203"/>
      <c r="C26" s="203">
        <v>3</v>
      </c>
      <c r="D26" s="216" t="s">
        <v>1653</v>
      </c>
      <c r="E26" s="204"/>
      <c r="F26" s="204"/>
      <c r="G26" s="204" t="s">
        <v>1638</v>
      </c>
      <c r="H26" s="204"/>
      <c r="I26" s="204"/>
      <c r="J26" s="204"/>
      <c r="K26" s="204"/>
      <c r="L26" s="204"/>
      <c r="M26" s="204"/>
      <c r="N26" s="204"/>
      <c r="O26" s="204"/>
      <c r="P26" s="205">
        <v>44523</v>
      </c>
      <c r="Q26" s="238"/>
      <c r="R26" s="205">
        <v>44525</v>
      </c>
      <c r="S26" s="206"/>
      <c r="T26" s="207">
        <v>3</v>
      </c>
      <c r="U26" s="207">
        <v>0</v>
      </c>
      <c r="V26" s="207">
        <v>3</v>
      </c>
      <c r="W26" s="207">
        <v>0</v>
      </c>
      <c r="X26" s="205"/>
      <c r="Y26" s="205"/>
      <c r="Z26" s="208"/>
      <c r="AA26" s="209">
        <v>0</v>
      </c>
      <c r="AB26" s="207"/>
      <c r="AC26" s="206"/>
      <c r="AD26" s="210"/>
      <c r="AE26" s="211">
        <v>0</v>
      </c>
      <c r="AF26" s="213">
        <v>0</v>
      </c>
      <c r="AG26" s="190"/>
      <c r="AH26" s="191"/>
      <c r="AI26" s="191" t="str">
        <f>"  " &amp; TEXT(AF26,"#0.00%") &amp; " " &amp; "리뷰 추가 기능 구현(클라이언트, 서버, DB)" &amp; " " &amp; IF(P26="","",TEXT(P26,"M/D-")) &amp; IF(R26="","",TEXT(R26,"M/D")) &amp; " "</f>
        <v xml:space="preserve">  0.00% 리뷰 추가 기능 구현(클라이언트, 서버, DB) 11/23-11/25 </v>
      </c>
      <c r="AJ26" s="191"/>
      <c r="AK26" s="191"/>
      <c r="AL26" s="191"/>
    </row>
    <row r="27" spans="1:38" ht="12" customHeight="1" outlineLevel="2">
      <c r="A27" s="203"/>
      <c r="B27" s="203"/>
      <c r="C27" s="203">
        <v>3</v>
      </c>
      <c r="D27" s="216" t="s">
        <v>1654</v>
      </c>
      <c r="E27" s="204"/>
      <c r="F27" s="204"/>
      <c r="G27" s="204" t="s">
        <v>1637</v>
      </c>
      <c r="H27" s="204"/>
      <c r="I27" s="204"/>
      <c r="J27" s="204"/>
      <c r="K27" s="204"/>
      <c r="L27" s="204"/>
      <c r="M27" s="204"/>
      <c r="N27" s="204"/>
      <c r="O27" s="204"/>
      <c r="P27" s="205">
        <v>44526</v>
      </c>
      <c r="Q27" s="238"/>
      <c r="R27" s="205">
        <v>44528</v>
      </c>
      <c r="S27" s="206"/>
      <c r="T27" s="207">
        <v>1</v>
      </c>
      <c r="U27" s="207">
        <v>0</v>
      </c>
      <c r="V27" s="207">
        <v>1</v>
      </c>
      <c r="W27" s="207">
        <v>0</v>
      </c>
      <c r="X27" s="205"/>
      <c r="Y27" s="205"/>
      <c r="Z27" s="208"/>
      <c r="AA27" s="209">
        <v>0</v>
      </c>
      <c r="AB27" s="207"/>
      <c r="AC27" s="206"/>
      <c r="AD27" s="210"/>
      <c r="AE27" s="211">
        <v>0</v>
      </c>
      <c r="AF27" s="213">
        <v>0</v>
      </c>
      <c r="AG27" s="190"/>
      <c r="AH27" s="191"/>
      <c r="AI27" s="191" t="str">
        <f>"     " &amp; TEXT(AF27,"#0.00%") &amp; " " &amp; "리뷰 검색 기능 구현(클라이언트, 서버, DB)" &amp; " " &amp; IF(P27="","",TEXT(P27,"M/D-")) &amp; IF(R27="","",TEXT(R27,"M/D")) &amp; " "</f>
        <v xml:space="preserve">     0.00% 리뷰 검색 기능 구현(클라이언트, 서버, DB) 11/26-11/28 </v>
      </c>
      <c r="AJ27" s="191"/>
      <c r="AK27" s="191"/>
      <c r="AL27" s="191"/>
    </row>
    <row r="28" spans="1:38" ht="12" customHeight="1" outlineLevel="2">
      <c r="A28" s="203"/>
      <c r="B28" s="203" t="s">
        <v>1482</v>
      </c>
      <c r="C28" s="203">
        <v>3</v>
      </c>
      <c r="D28" s="216" t="s">
        <v>1655</v>
      </c>
      <c r="E28" s="204"/>
      <c r="F28" s="204"/>
      <c r="G28" s="204" t="s">
        <v>1640</v>
      </c>
      <c r="H28" s="204"/>
      <c r="I28" s="204"/>
      <c r="J28" s="204"/>
      <c r="K28" s="204"/>
      <c r="L28" s="204"/>
      <c r="M28" s="204"/>
      <c r="N28" s="204"/>
      <c r="O28" s="204"/>
      <c r="P28" s="205">
        <v>44529</v>
      </c>
      <c r="Q28" s="238"/>
      <c r="R28" s="205">
        <v>44531</v>
      </c>
      <c r="S28" s="206"/>
      <c r="T28" s="207">
        <v>3</v>
      </c>
      <c r="U28" s="207">
        <v>0</v>
      </c>
      <c r="V28" s="207">
        <v>3</v>
      </c>
      <c r="W28" s="207">
        <v>0</v>
      </c>
      <c r="X28" s="205"/>
      <c r="Y28" s="205"/>
      <c r="Z28" s="208">
        <v>0</v>
      </c>
      <c r="AA28" s="209">
        <v>0</v>
      </c>
      <c r="AB28" s="207"/>
      <c r="AC28" s="206"/>
      <c r="AD28" s="210"/>
      <c r="AE28" s="211">
        <v>0</v>
      </c>
      <c r="AF28" s="219">
        <v>0</v>
      </c>
      <c r="AG28" s="190"/>
      <c r="AH28" s="191"/>
      <c r="AI28" s="191"/>
      <c r="AJ28" s="191" t="str">
        <f>" " &amp; TEXT(AF28,"#0.00%") &amp; " " &amp; "가게 상세 리뷰 UI 구현" &amp; " " &amp; IF(P28="","",TEXT(P28,"M/D-")) &amp; IF(R28="","",TEXT(R28,"M/D")) &amp; " "</f>
        <v xml:space="preserve"> 0.00% 가게 상세 리뷰 UI 구현 11/29-12/1 </v>
      </c>
      <c r="AK28" s="191"/>
      <c r="AL28" s="191"/>
    </row>
    <row r="29" spans="1:38" ht="12" customHeight="1" outlineLevel="3">
      <c r="A29" s="203"/>
      <c r="B29" s="203"/>
      <c r="C29" s="203">
        <v>4</v>
      </c>
      <c r="D29" s="216" t="s">
        <v>1656</v>
      </c>
      <c r="E29" s="204"/>
      <c r="F29" s="204"/>
      <c r="G29" s="204"/>
      <c r="H29" s="204" t="s">
        <v>1642</v>
      </c>
      <c r="I29" s="204"/>
      <c r="J29" s="204"/>
      <c r="K29" s="204"/>
      <c r="L29" s="204"/>
      <c r="M29" s="204"/>
      <c r="N29" s="204"/>
      <c r="O29" s="204"/>
      <c r="P29" s="205">
        <v>44529</v>
      </c>
      <c r="Q29" s="238"/>
      <c r="R29" s="205">
        <v>44531</v>
      </c>
      <c r="S29" s="206"/>
      <c r="T29" s="207">
        <v>3</v>
      </c>
      <c r="U29" s="207">
        <v>0</v>
      </c>
      <c r="V29" s="207">
        <v>3</v>
      </c>
      <c r="W29" s="207">
        <v>0</v>
      </c>
      <c r="X29" s="205"/>
      <c r="Y29" s="205"/>
      <c r="Z29" s="208"/>
      <c r="AA29" s="209">
        <v>0</v>
      </c>
      <c r="AB29" s="207"/>
      <c r="AC29" s="206"/>
      <c r="AD29" s="210"/>
      <c r="AE29" s="211">
        <v>0</v>
      </c>
      <c r="AF29" s="213">
        <v>0</v>
      </c>
      <c r="AG29" s="190"/>
      <c r="AH29" s="191"/>
      <c r="AI29" s="191"/>
      <c r="AJ29" s="191" t="str">
        <f>" " &amp; TEXT(AF29,"#0.00%") &amp; " " &amp; "가게 상세 리뷰 리스트 구현(클라이언트, 서버, DB)" &amp; " " &amp; IF(P29="","",TEXT(P29,"M/D-")) &amp; IF(R29="","",TEXT(R29,"M/D")) &amp; " "</f>
        <v xml:space="preserve"> 0.00% 가게 상세 리뷰 리스트 구현(클라이언트, 서버, DB) 11/29-12/1 </v>
      </c>
      <c r="AK29" s="191"/>
      <c r="AL29" s="191"/>
    </row>
    <row r="30" spans="1:38" ht="12" customHeight="1" outlineLevel="1">
      <c r="A30" s="203"/>
      <c r="B30" s="203" t="s">
        <v>1482</v>
      </c>
      <c r="C30" s="203">
        <v>2</v>
      </c>
      <c r="D30" s="216" t="s">
        <v>1657</v>
      </c>
      <c r="E30" s="204"/>
      <c r="F30" s="204" t="s">
        <v>1643</v>
      </c>
      <c r="G30" s="204"/>
      <c r="H30" s="204"/>
      <c r="I30" s="204"/>
      <c r="J30" s="204"/>
      <c r="K30" s="204"/>
      <c r="L30" s="204"/>
      <c r="M30" s="204"/>
      <c r="N30" s="204"/>
      <c r="O30" s="204"/>
      <c r="P30" s="205">
        <v>44532</v>
      </c>
      <c r="Q30" s="238"/>
      <c r="R30" s="205">
        <v>44536</v>
      </c>
      <c r="S30" s="206"/>
      <c r="T30" s="207">
        <v>4</v>
      </c>
      <c r="U30" s="207">
        <v>0</v>
      </c>
      <c r="V30" s="207">
        <v>3</v>
      </c>
      <c r="W30" s="207">
        <v>0</v>
      </c>
      <c r="X30" s="205"/>
      <c r="Y30" s="205"/>
      <c r="Z30" s="208">
        <v>0</v>
      </c>
      <c r="AA30" s="209">
        <v>0</v>
      </c>
      <c r="AB30" s="207"/>
      <c r="AC30" s="206"/>
      <c r="AD30" s="210"/>
      <c r="AE30" s="211">
        <v>0</v>
      </c>
      <c r="AF30" s="219">
        <v>0</v>
      </c>
      <c r="AG30" s="190"/>
      <c r="AH30" s="191"/>
      <c r="AI30" s="191"/>
      <c r="AJ30" s="191" t="str">
        <f>"    " &amp; TEXT(AF30,"#0.00%") &amp; " " &amp; "내정보 엑티비티 구현" &amp; " " &amp; IF(P30="","",TEXT(P30,"M/D-")) &amp; IF(R30="","",TEXT(R30,"M/D")) &amp; " "</f>
        <v xml:space="preserve">    0.00% 내정보 엑티비티 구현 12/2-12/6 </v>
      </c>
      <c r="AK30" s="191"/>
      <c r="AL30" s="191"/>
    </row>
    <row r="31" spans="1:38" ht="12" customHeight="1" outlineLevel="2">
      <c r="A31" s="203"/>
      <c r="B31" s="203"/>
      <c r="C31" s="203">
        <v>3</v>
      </c>
      <c r="D31" s="216" t="s">
        <v>1658</v>
      </c>
      <c r="E31" s="204"/>
      <c r="F31" s="204"/>
      <c r="G31" s="204" t="s">
        <v>1644</v>
      </c>
      <c r="H31" s="204"/>
      <c r="I31" s="204"/>
      <c r="J31" s="204"/>
      <c r="K31" s="204"/>
      <c r="L31" s="204"/>
      <c r="M31" s="204"/>
      <c r="N31" s="204"/>
      <c r="O31" s="204"/>
      <c r="P31" s="205">
        <v>44532</v>
      </c>
      <c r="Q31" s="238"/>
      <c r="R31" s="205">
        <v>44532</v>
      </c>
      <c r="S31" s="206"/>
      <c r="T31" s="207">
        <v>1</v>
      </c>
      <c r="U31" s="207">
        <v>0</v>
      </c>
      <c r="V31" s="207">
        <v>1</v>
      </c>
      <c r="W31" s="207">
        <v>0</v>
      </c>
      <c r="X31" s="205"/>
      <c r="Y31" s="205"/>
      <c r="Z31" s="208"/>
      <c r="AA31" s="209">
        <v>0</v>
      </c>
      <c r="AB31" s="207"/>
      <c r="AC31" s="206"/>
      <c r="AD31" s="210"/>
      <c r="AE31" s="211">
        <v>0</v>
      </c>
      <c r="AF31" s="213">
        <v>0</v>
      </c>
      <c r="AG31" s="190"/>
      <c r="AH31" s="191"/>
      <c r="AI31" s="191"/>
      <c r="AJ31" s="191" t="str">
        <f>"    " &amp; TEXT(AF31,"#0.00%") &amp; " " &amp; "내정보 엑티비티 UI 구현" &amp; " " &amp; IF(P31="","",TEXT(P31,"M/D-")) &amp; IF(R31="","",TEXT(R31,"M/D")) &amp; " "</f>
        <v xml:space="preserve">    0.00% 내정보 엑티비티 UI 구현 12/2-12/2 </v>
      </c>
      <c r="AK31" s="191"/>
      <c r="AL31" s="191"/>
    </row>
    <row r="32" spans="1:38" ht="12" customHeight="1" outlineLevel="2">
      <c r="A32" s="203"/>
      <c r="B32" s="203"/>
      <c r="C32" s="203">
        <v>3</v>
      </c>
      <c r="D32" s="216" t="s">
        <v>1659</v>
      </c>
      <c r="E32" s="204"/>
      <c r="F32" s="204"/>
      <c r="G32" s="204" t="s">
        <v>1646</v>
      </c>
      <c r="H32" s="204"/>
      <c r="I32" s="204"/>
      <c r="J32" s="204"/>
      <c r="K32" s="204"/>
      <c r="L32" s="204"/>
      <c r="M32" s="204"/>
      <c r="N32" s="204"/>
      <c r="O32" s="204"/>
      <c r="P32" s="205">
        <v>44532</v>
      </c>
      <c r="Q32" s="238"/>
      <c r="R32" s="205">
        <v>44533</v>
      </c>
      <c r="S32" s="206"/>
      <c r="T32" s="207">
        <v>2</v>
      </c>
      <c r="U32" s="207">
        <v>0</v>
      </c>
      <c r="V32" s="207">
        <v>2</v>
      </c>
      <c r="W32" s="207">
        <v>0</v>
      </c>
      <c r="X32" s="205"/>
      <c r="Y32" s="205"/>
      <c r="Z32" s="208"/>
      <c r="AA32" s="209">
        <v>0</v>
      </c>
      <c r="AB32" s="207"/>
      <c r="AC32" s="206"/>
      <c r="AD32" s="210"/>
      <c r="AE32" s="211">
        <v>0</v>
      </c>
      <c r="AF32" s="213">
        <v>0</v>
      </c>
      <c r="AG32" s="190"/>
      <c r="AH32" s="191"/>
      <c r="AI32" s="191"/>
      <c r="AJ32" s="191" t="str">
        <f>"    " &amp; TEXT(AF32,"#0.00%") &amp; " " &amp; "내 정보 보여주는 자바코드 구현(클라이언트, 서버, DB)" &amp; " " &amp; IF(P32="","",TEXT(P32,"M/D-")) &amp; IF(R32="","",TEXT(R32,"M/D")) &amp; " "</f>
        <v xml:space="preserve">    0.00% 내 정보 보여주는 자바코드 구현(클라이언트, 서버, DB) 12/2-12/3 </v>
      </c>
      <c r="AK32" s="191"/>
      <c r="AL32" s="191"/>
    </row>
    <row r="33" spans="1:38" ht="12" customHeight="1" outlineLevel="2">
      <c r="A33" s="203"/>
      <c r="B33" s="203"/>
      <c r="C33" s="203">
        <v>3</v>
      </c>
      <c r="D33" s="216" t="s">
        <v>1660</v>
      </c>
      <c r="E33" s="204"/>
      <c r="F33" s="204"/>
      <c r="G33" s="204" t="s">
        <v>1645</v>
      </c>
      <c r="H33" s="204"/>
      <c r="I33" s="204"/>
      <c r="J33" s="204"/>
      <c r="K33" s="204"/>
      <c r="L33" s="204"/>
      <c r="M33" s="204"/>
      <c r="N33" s="204"/>
      <c r="O33" s="204"/>
      <c r="P33" s="205">
        <v>44534</v>
      </c>
      <c r="Q33" s="238"/>
      <c r="R33" s="205">
        <v>44536</v>
      </c>
      <c r="S33" s="206"/>
      <c r="T33" s="207">
        <v>1</v>
      </c>
      <c r="U33" s="207">
        <v>0</v>
      </c>
      <c r="V33" s="207">
        <v>1</v>
      </c>
      <c r="W33" s="207">
        <v>0</v>
      </c>
      <c r="X33" s="205"/>
      <c r="Y33" s="205"/>
      <c r="Z33" s="208"/>
      <c r="AA33" s="209">
        <v>0</v>
      </c>
      <c r="AB33" s="207"/>
      <c r="AC33" s="206"/>
      <c r="AD33" s="210"/>
      <c r="AE33" s="211">
        <v>0</v>
      </c>
      <c r="AF33" s="213">
        <v>0</v>
      </c>
      <c r="AG33" s="190"/>
      <c r="AH33" s="191"/>
      <c r="AI33" s="191"/>
      <c r="AJ33" s="191" t="str">
        <f>"      " &amp; TEXT(AF33,"#0.00%") &amp; " " &amp; "내가 쓴 리뷰 리스트 구현(클라이언트, 서버, DB)" &amp; " " &amp; IF(P33="","",TEXT(P33,"M/D-")) &amp; IF(R33="","",TEXT(R33,"M/D")) &amp; " "</f>
        <v xml:space="preserve">      0.00% 내가 쓴 리뷰 리스트 구현(클라이언트, 서버, DB) 12/4-12/6 </v>
      </c>
      <c r="AK33" s="191"/>
      <c r="AL33" s="191"/>
    </row>
    <row r="34" spans="1:38" ht="12" customHeight="1" outlineLevel="1">
      <c r="A34" s="203"/>
      <c r="B34" s="203"/>
      <c r="C34" s="203">
        <v>2</v>
      </c>
      <c r="D34" s="216" t="s">
        <v>1661</v>
      </c>
      <c r="E34" s="204"/>
      <c r="F34" s="204" t="s">
        <v>1647</v>
      </c>
      <c r="G34" s="204"/>
      <c r="H34" s="204"/>
      <c r="I34" s="204"/>
      <c r="J34" s="204"/>
      <c r="K34" s="204"/>
      <c r="L34" s="204"/>
      <c r="M34" s="204"/>
      <c r="N34" s="204"/>
      <c r="O34" s="204"/>
      <c r="P34" s="205">
        <v>44537</v>
      </c>
      <c r="Q34" s="238"/>
      <c r="R34" s="205">
        <v>44540</v>
      </c>
      <c r="S34" s="206"/>
      <c r="T34" s="207">
        <v>4</v>
      </c>
      <c r="U34" s="207">
        <v>0</v>
      </c>
      <c r="V34" s="207">
        <v>4</v>
      </c>
      <c r="W34" s="207">
        <v>0</v>
      </c>
      <c r="X34" s="205"/>
      <c r="Y34" s="205"/>
      <c r="Z34" s="208"/>
      <c r="AA34" s="209">
        <v>0</v>
      </c>
      <c r="AB34" s="207"/>
      <c r="AC34" s="206"/>
      <c r="AD34" s="210"/>
      <c r="AE34" s="211">
        <v>0</v>
      </c>
      <c r="AF34" s="213">
        <v>0</v>
      </c>
      <c r="AG34" s="190"/>
      <c r="AH34" s="191"/>
      <c r="AI34" s="191"/>
      <c r="AJ34" s="191"/>
      <c r="AK34" s="191" t="str">
        <f>"  " &amp; TEXT(AF34,"#0.00%") &amp; " " &amp; "맛집 알림 기능 구현" &amp; " " &amp; IF(P34="","",TEXT(P34,"M/D-")) &amp; IF(R34="","",TEXT(R34,"M/D")) &amp; " "</f>
        <v xml:space="preserve">  0.00% 맛집 알림 기능 구현 12/7-12/10 </v>
      </c>
      <c r="AL34" s="191"/>
    </row>
    <row r="35" spans="1:38" ht="12" customHeight="1">
      <c r="A35" s="291"/>
      <c r="B35" s="291" t="s">
        <v>1482</v>
      </c>
      <c r="C35" s="291">
        <v>2</v>
      </c>
      <c r="D35" s="292" t="s">
        <v>1563</v>
      </c>
      <c r="E35" s="293"/>
      <c r="F35" s="293"/>
      <c r="G35" s="293"/>
      <c r="H35" s="293"/>
      <c r="I35" s="293"/>
      <c r="J35" s="293"/>
      <c r="K35" s="293"/>
      <c r="L35" s="293"/>
      <c r="M35" s="293"/>
      <c r="N35" s="293"/>
      <c r="O35" s="293"/>
      <c r="P35" s="294"/>
      <c r="Q35" s="295"/>
      <c r="R35" s="294"/>
      <c r="S35" s="296"/>
      <c r="T35" s="297"/>
      <c r="U35" s="297"/>
      <c r="V35" s="297"/>
      <c r="W35" s="297"/>
      <c r="X35" s="294"/>
      <c r="Y35" s="294"/>
      <c r="Z35" s="298"/>
      <c r="AA35" s="299"/>
      <c r="AB35" s="297"/>
      <c r="AC35" s="296"/>
      <c r="AD35" s="300"/>
      <c r="AE35" s="301"/>
      <c r="AF35" s="302"/>
      <c r="AG35" s="189"/>
      <c r="AH35" s="189"/>
      <c r="AI35" s="189"/>
      <c r="AJ35" s="189"/>
      <c r="AK35" s="189"/>
      <c r="AL35" s="189"/>
    </row>
    <row r="36" spans="1:38" ht="12" customHeight="1">
      <c r="A36" s="203"/>
      <c r="B36" s="203" t="s">
        <v>1482</v>
      </c>
      <c r="C36" s="203">
        <v>3</v>
      </c>
      <c r="D36" s="216" t="s">
        <v>1527</v>
      </c>
      <c r="E36" s="204"/>
      <c r="F36" s="204"/>
      <c r="G36" s="204"/>
      <c r="H36" s="204"/>
      <c r="I36" s="204"/>
      <c r="J36" s="204"/>
      <c r="K36" s="204"/>
      <c r="L36" s="204"/>
      <c r="M36" s="204"/>
      <c r="N36" s="204"/>
      <c r="O36" s="204"/>
      <c r="P36" s="205"/>
      <c r="Q36" s="238"/>
      <c r="R36" s="205"/>
      <c r="S36" s="206"/>
      <c r="T36" s="207"/>
      <c r="U36" s="207"/>
      <c r="V36" s="207"/>
      <c r="W36" s="207"/>
      <c r="X36" s="205"/>
      <c r="Y36" s="205"/>
      <c r="Z36" s="208"/>
      <c r="AA36" s="209"/>
      <c r="AB36" s="207"/>
      <c r="AC36" s="206"/>
      <c r="AD36" s="210"/>
      <c r="AE36" s="211"/>
      <c r="AF36" s="215"/>
    </row>
    <row r="37" spans="1:38" ht="12" customHeight="1">
      <c r="A37" s="203"/>
      <c r="B37" s="203"/>
      <c r="C37" s="203">
        <v>4</v>
      </c>
      <c r="D37" s="216" t="s">
        <v>1528</v>
      </c>
      <c r="E37" s="204"/>
      <c r="F37" s="204"/>
      <c r="G37" s="204"/>
      <c r="H37" s="204"/>
      <c r="I37" s="204"/>
      <c r="J37" s="204"/>
      <c r="K37" s="204"/>
      <c r="L37" s="204"/>
      <c r="M37" s="204"/>
      <c r="N37" s="204"/>
      <c r="O37" s="204"/>
      <c r="P37" s="205"/>
      <c r="Q37" s="238"/>
      <c r="R37" s="205"/>
      <c r="S37" s="206"/>
      <c r="T37" s="207"/>
      <c r="U37" s="207"/>
      <c r="V37" s="207"/>
      <c r="W37" s="207"/>
      <c r="X37" s="205"/>
      <c r="Y37" s="205"/>
      <c r="Z37" s="208"/>
      <c r="AA37" s="209"/>
      <c r="AB37" s="207"/>
      <c r="AC37" s="206"/>
      <c r="AD37" s="210"/>
      <c r="AE37" s="211"/>
      <c r="AF37" s="214"/>
    </row>
    <row r="38" spans="1:38" ht="12" customHeight="1">
      <c r="A38" s="203"/>
      <c r="B38" s="203" t="s">
        <v>1482</v>
      </c>
      <c r="C38" s="203">
        <v>4</v>
      </c>
      <c r="D38" s="216" t="s">
        <v>1530</v>
      </c>
      <c r="E38" s="204"/>
      <c r="F38" s="204"/>
      <c r="G38" s="204"/>
      <c r="H38" s="204"/>
      <c r="I38" s="204"/>
      <c r="J38" s="204"/>
      <c r="K38" s="204"/>
      <c r="L38" s="204"/>
      <c r="M38" s="204"/>
      <c r="N38" s="204"/>
      <c r="O38" s="204"/>
      <c r="P38" s="205"/>
      <c r="Q38" s="238"/>
      <c r="R38" s="205"/>
      <c r="S38" s="206"/>
      <c r="T38" s="207"/>
      <c r="U38" s="207"/>
      <c r="V38" s="207"/>
      <c r="W38" s="207"/>
      <c r="X38" s="205"/>
      <c r="Y38" s="205"/>
      <c r="Z38" s="208"/>
      <c r="AA38" s="209"/>
      <c r="AB38" s="207"/>
      <c r="AC38" s="206"/>
      <c r="AD38" s="210"/>
      <c r="AE38" s="211"/>
      <c r="AF38" s="215"/>
    </row>
    <row r="39" spans="1:38" ht="12" customHeight="1">
      <c r="A39" s="203"/>
      <c r="B39" s="203" t="s">
        <v>1482</v>
      </c>
      <c r="C39" s="203">
        <v>5</v>
      </c>
      <c r="D39" s="216" t="s">
        <v>1531</v>
      </c>
      <c r="E39" s="204"/>
      <c r="F39" s="204"/>
      <c r="G39" s="204"/>
      <c r="H39" s="204"/>
      <c r="I39" s="204"/>
      <c r="J39" s="204"/>
      <c r="K39" s="204"/>
      <c r="L39" s="204"/>
      <c r="M39" s="204"/>
      <c r="N39" s="204"/>
      <c r="O39" s="204"/>
      <c r="P39" s="205"/>
      <c r="Q39" s="238"/>
      <c r="R39" s="205"/>
      <c r="S39" s="206"/>
      <c r="T39" s="207"/>
      <c r="U39" s="207"/>
      <c r="V39" s="207"/>
      <c r="W39" s="207"/>
      <c r="X39" s="205"/>
      <c r="Y39" s="205"/>
      <c r="Z39" s="208"/>
      <c r="AA39" s="209"/>
      <c r="AB39" s="207"/>
      <c r="AC39" s="206"/>
      <c r="AD39" s="210"/>
      <c r="AE39" s="211"/>
      <c r="AF39" s="215"/>
    </row>
    <row r="40" spans="1:38" ht="12" customHeight="1">
      <c r="A40" s="203"/>
      <c r="B40" s="203"/>
      <c r="C40" s="203">
        <v>6</v>
      </c>
      <c r="D40" s="216" t="s">
        <v>1532</v>
      </c>
      <c r="E40" s="204"/>
      <c r="F40" s="204"/>
      <c r="G40" s="204"/>
      <c r="H40" s="204"/>
      <c r="I40" s="204"/>
      <c r="J40" s="204"/>
      <c r="K40" s="204"/>
      <c r="L40" s="204"/>
      <c r="M40" s="204"/>
      <c r="N40" s="204"/>
      <c r="O40" s="204"/>
      <c r="P40" s="205"/>
      <c r="Q40" s="238"/>
      <c r="R40" s="205"/>
      <c r="S40" s="206"/>
      <c r="T40" s="207"/>
      <c r="U40" s="207"/>
      <c r="V40" s="207"/>
      <c r="W40" s="207"/>
      <c r="X40" s="205"/>
      <c r="Y40" s="205"/>
      <c r="Z40" s="208"/>
      <c r="AA40" s="209"/>
      <c r="AB40" s="207"/>
      <c r="AC40" s="206"/>
      <c r="AD40" s="210"/>
      <c r="AE40" s="211"/>
      <c r="AF40" s="214"/>
    </row>
    <row r="41" spans="1:38" ht="12" customHeight="1">
      <c r="A41" s="203"/>
      <c r="B41" s="203"/>
      <c r="C41" s="203">
        <v>6</v>
      </c>
      <c r="D41" s="216" t="s">
        <v>1534</v>
      </c>
      <c r="E41" s="204"/>
      <c r="F41" s="204"/>
      <c r="G41" s="204"/>
      <c r="H41" s="204"/>
      <c r="I41" s="204"/>
      <c r="J41" s="204"/>
      <c r="K41" s="204"/>
      <c r="L41" s="204"/>
      <c r="M41" s="204"/>
      <c r="N41" s="204"/>
      <c r="O41" s="204"/>
      <c r="P41" s="205"/>
      <c r="Q41" s="238"/>
      <c r="R41" s="205"/>
      <c r="S41" s="206"/>
      <c r="T41" s="207"/>
      <c r="U41" s="207"/>
      <c r="V41" s="207"/>
      <c r="W41" s="207"/>
      <c r="X41" s="205"/>
      <c r="Y41" s="205"/>
      <c r="Z41" s="208"/>
      <c r="AA41" s="209"/>
      <c r="AB41" s="207"/>
      <c r="AC41" s="206"/>
      <c r="AD41" s="210"/>
      <c r="AE41" s="211"/>
      <c r="AF41" s="214"/>
    </row>
    <row r="42" spans="1:38" ht="12" customHeight="1">
      <c r="A42" s="203"/>
      <c r="B42" s="203"/>
      <c r="C42" s="203">
        <v>6</v>
      </c>
      <c r="D42" s="216" t="s">
        <v>1536</v>
      </c>
      <c r="E42" s="204"/>
      <c r="F42" s="204"/>
      <c r="G42" s="204"/>
      <c r="H42" s="204"/>
      <c r="I42" s="204"/>
      <c r="J42" s="204"/>
      <c r="K42" s="204"/>
      <c r="L42" s="204"/>
      <c r="M42" s="204"/>
      <c r="N42" s="204"/>
      <c r="O42" s="204"/>
      <c r="P42" s="205"/>
      <c r="Q42" s="238"/>
      <c r="R42" s="205"/>
      <c r="S42" s="206"/>
      <c r="T42" s="207"/>
      <c r="U42" s="207"/>
      <c r="V42" s="207"/>
      <c r="W42" s="207"/>
      <c r="X42" s="205"/>
      <c r="Y42" s="205"/>
      <c r="Z42" s="208"/>
      <c r="AA42" s="209"/>
      <c r="AB42" s="207"/>
      <c r="AC42" s="206"/>
      <c r="AD42" s="210"/>
      <c r="AE42" s="211"/>
      <c r="AF42" s="214"/>
    </row>
    <row r="43" spans="1:38" ht="12" customHeight="1">
      <c r="A43" s="203"/>
      <c r="B43" s="203"/>
      <c r="C43" s="203">
        <v>5</v>
      </c>
      <c r="D43" s="216" t="s">
        <v>1538</v>
      </c>
      <c r="E43" s="204"/>
      <c r="F43" s="204"/>
      <c r="G43" s="204"/>
      <c r="H43" s="204"/>
      <c r="I43" s="204"/>
      <c r="J43" s="204"/>
      <c r="K43" s="204"/>
      <c r="L43" s="204"/>
      <c r="M43" s="204"/>
      <c r="N43" s="204"/>
      <c r="O43" s="204"/>
      <c r="P43" s="205"/>
      <c r="Q43" s="238"/>
      <c r="R43" s="205"/>
      <c r="S43" s="206"/>
      <c r="T43" s="207"/>
      <c r="U43" s="207"/>
      <c r="V43" s="207"/>
      <c r="W43" s="207"/>
      <c r="X43" s="205"/>
      <c r="Y43" s="205"/>
      <c r="Z43" s="208"/>
      <c r="AA43" s="209"/>
      <c r="AB43" s="207"/>
      <c r="AC43" s="206"/>
      <c r="AD43" s="210"/>
      <c r="AE43" s="211"/>
      <c r="AF43" s="214"/>
    </row>
    <row r="44" spans="1:38" ht="12" customHeight="1">
      <c r="A44" s="203"/>
      <c r="B44" s="203"/>
      <c r="C44" s="203">
        <v>5</v>
      </c>
      <c r="D44" s="216" t="s">
        <v>1540</v>
      </c>
      <c r="E44" s="204"/>
      <c r="F44" s="204"/>
      <c r="G44" s="204"/>
      <c r="H44" s="204"/>
      <c r="I44" s="204"/>
      <c r="J44" s="204"/>
      <c r="K44" s="204"/>
      <c r="L44" s="204"/>
      <c r="M44" s="204"/>
      <c r="N44" s="204"/>
      <c r="O44" s="204"/>
      <c r="P44" s="205"/>
      <c r="Q44" s="238"/>
      <c r="R44" s="205"/>
      <c r="S44" s="206"/>
      <c r="T44" s="207"/>
      <c r="U44" s="207"/>
      <c r="V44" s="207"/>
      <c r="W44" s="207"/>
      <c r="X44" s="205"/>
      <c r="Y44" s="205"/>
      <c r="Z44" s="208"/>
      <c r="AA44" s="209"/>
      <c r="AB44" s="207"/>
      <c r="AC44" s="206"/>
      <c r="AD44" s="210"/>
      <c r="AE44" s="211"/>
      <c r="AF44" s="214"/>
    </row>
    <row r="45" spans="1:38" ht="12" customHeight="1">
      <c r="A45" s="203"/>
      <c r="B45" s="203"/>
      <c r="C45" s="203">
        <v>5</v>
      </c>
      <c r="D45" s="216" t="s">
        <v>1542</v>
      </c>
      <c r="E45" s="204"/>
      <c r="F45" s="204"/>
      <c r="G45" s="204"/>
      <c r="H45" s="204"/>
      <c r="I45" s="204"/>
      <c r="J45" s="204"/>
      <c r="K45" s="204"/>
      <c r="L45" s="204"/>
      <c r="M45" s="204"/>
      <c r="N45" s="204"/>
      <c r="O45" s="204"/>
      <c r="P45" s="205"/>
      <c r="Q45" s="238"/>
      <c r="R45" s="205"/>
      <c r="S45" s="206"/>
      <c r="T45" s="207"/>
      <c r="U45" s="207"/>
      <c r="V45" s="207"/>
      <c r="W45" s="207"/>
      <c r="X45" s="205"/>
      <c r="Y45" s="205"/>
      <c r="Z45" s="208"/>
      <c r="AA45" s="209"/>
      <c r="AB45" s="207"/>
      <c r="AC45" s="206"/>
      <c r="AD45" s="210"/>
      <c r="AE45" s="211"/>
      <c r="AF45" s="214"/>
    </row>
    <row r="46" spans="1:38" ht="12" customHeight="1">
      <c r="A46" s="203"/>
      <c r="B46" s="203" t="s">
        <v>1482</v>
      </c>
      <c r="C46" s="203">
        <v>3</v>
      </c>
      <c r="D46" s="216" t="s">
        <v>1544</v>
      </c>
      <c r="E46" s="204"/>
      <c r="F46" s="204"/>
      <c r="G46" s="204"/>
      <c r="H46" s="204"/>
      <c r="I46" s="204"/>
      <c r="J46" s="204"/>
      <c r="K46" s="204"/>
      <c r="L46" s="204"/>
      <c r="M46" s="204"/>
      <c r="N46" s="204"/>
      <c r="O46" s="204"/>
      <c r="P46" s="205"/>
      <c r="Q46" s="238"/>
      <c r="R46" s="205"/>
      <c r="S46" s="206"/>
      <c r="T46" s="207"/>
      <c r="U46" s="207"/>
      <c r="V46" s="207"/>
      <c r="W46" s="207"/>
      <c r="X46" s="205"/>
      <c r="Y46" s="205"/>
      <c r="Z46" s="208"/>
      <c r="AA46" s="209"/>
      <c r="AB46" s="207"/>
      <c r="AC46" s="206"/>
      <c r="AD46" s="210"/>
      <c r="AE46" s="211"/>
      <c r="AF46" s="219"/>
    </row>
    <row r="47" spans="1:38" ht="12" customHeight="1">
      <c r="A47" s="203"/>
      <c r="B47" s="203"/>
      <c r="C47" s="203">
        <v>4</v>
      </c>
      <c r="D47" s="216" t="s">
        <v>1545</v>
      </c>
      <c r="E47" s="204"/>
      <c r="F47" s="204"/>
      <c r="G47" s="204"/>
      <c r="H47" s="204"/>
      <c r="I47" s="204"/>
      <c r="J47" s="204"/>
      <c r="K47" s="204"/>
      <c r="L47" s="204"/>
      <c r="M47" s="204"/>
      <c r="N47" s="204"/>
      <c r="O47" s="204"/>
      <c r="P47" s="205"/>
      <c r="Q47" s="238"/>
      <c r="R47" s="205"/>
      <c r="S47" s="206"/>
      <c r="T47" s="207"/>
      <c r="U47" s="207"/>
      <c r="V47" s="207"/>
      <c r="W47" s="207"/>
      <c r="X47" s="205"/>
      <c r="Y47" s="205"/>
      <c r="Z47" s="208"/>
      <c r="AA47" s="209"/>
      <c r="AB47" s="207"/>
      <c r="AC47" s="206"/>
      <c r="AD47" s="210"/>
      <c r="AE47" s="211"/>
      <c r="AF47" s="213"/>
    </row>
    <row r="48" spans="1:38" ht="12" customHeight="1">
      <c r="A48" s="203"/>
      <c r="B48" s="203"/>
      <c r="C48" s="203">
        <v>4</v>
      </c>
      <c r="D48" s="216" t="s">
        <v>1547</v>
      </c>
      <c r="E48" s="204"/>
      <c r="F48" s="204"/>
      <c r="G48" s="204"/>
      <c r="H48" s="204"/>
      <c r="I48" s="204"/>
      <c r="J48" s="204"/>
      <c r="K48" s="204"/>
      <c r="L48" s="204"/>
      <c r="M48" s="204"/>
      <c r="N48" s="204"/>
      <c r="O48" s="204"/>
      <c r="P48" s="205"/>
      <c r="Q48" s="238"/>
      <c r="R48" s="205"/>
      <c r="S48" s="206"/>
      <c r="T48" s="207"/>
      <c r="U48" s="207"/>
      <c r="V48" s="207"/>
      <c r="W48" s="207"/>
      <c r="X48" s="205"/>
      <c r="Y48" s="205"/>
      <c r="Z48" s="208"/>
      <c r="AA48" s="209"/>
      <c r="AB48" s="207"/>
      <c r="AC48" s="206"/>
      <c r="AD48" s="210"/>
      <c r="AE48" s="211"/>
      <c r="AF48" s="213"/>
    </row>
    <row r="49" spans="1:32" ht="12" customHeight="1">
      <c r="A49" s="203"/>
      <c r="B49" s="203" t="s">
        <v>1482</v>
      </c>
      <c r="C49" s="203">
        <v>2</v>
      </c>
      <c r="D49" s="216" t="s">
        <v>1564</v>
      </c>
      <c r="E49" s="204"/>
      <c r="F49" s="204"/>
      <c r="G49" s="204"/>
      <c r="H49" s="204"/>
      <c r="I49" s="204"/>
      <c r="J49" s="204"/>
      <c r="K49" s="204"/>
      <c r="L49" s="204"/>
      <c r="M49" s="204"/>
      <c r="N49" s="204"/>
      <c r="O49" s="204"/>
      <c r="P49" s="205"/>
      <c r="Q49" s="238"/>
      <c r="R49" s="205"/>
      <c r="S49" s="206"/>
      <c r="T49" s="207"/>
      <c r="U49" s="207"/>
      <c r="V49" s="207"/>
      <c r="W49" s="207"/>
      <c r="X49" s="205"/>
      <c r="Y49" s="205"/>
      <c r="Z49" s="208"/>
      <c r="AA49" s="209"/>
      <c r="AB49" s="207"/>
      <c r="AC49" s="206"/>
      <c r="AD49" s="210"/>
      <c r="AE49" s="211"/>
      <c r="AF49" s="219"/>
    </row>
    <row r="50" spans="1:32" ht="12" customHeight="1">
      <c r="A50" s="203"/>
      <c r="B50" s="203" t="s">
        <v>1482</v>
      </c>
      <c r="C50" s="203">
        <v>3</v>
      </c>
      <c r="D50" s="216" t="s">
        <v>1549</v>
      </c>
      <c r="E50" s="204"/>
      <c r="F50" s="204"/>
      <c r="G50" s="204"/>
      <c r="H50" s="204"/>
      <c r="I50" s="204"/>
      <c r="J50" s="204"/>
      <c r="K50" s="204"/>
      <c r="L50" s="204"/>
      <c r="M50" s="204"/>
      <c r="N50" s="204"/>
      <c r="O50" s="204"/>
      <c r="P50" s="205"/>
      <c r="Q50" s="238"/>
      <c r="R50" s="205"/>
      <c r="S50" s="206"/>
      <c r="T50" s="207"/>
      <c r="U50" s="207"/>
      <c r="V50" s="207"/>
      <c r="W50" s="207"/>
      <c r="X50" s="205"/>
      <c r="Y50" s="205"/>
      <c r="Z50" s="208"/>
      <c r="AA50" s="209"/>
      <c r="AB50" s="207"/>
      <c r="AC50" s="206"/>
      <c r="AD50" s="210"/>
      <c r="AE50" s="211"/>
      <c r="AF50" s="219"/>
    </row>
    <row r="51" spans="1:32" ht="12" customHeight="1">
      <c r="A51" s="203"/>
      <c r="B51" s="203"/>
      <c r="C51" s="203">
        <v>4</v>
      </c>
      <c r="D51" s="216" t="s">
        <v>1550</v>
      </c>
      <c r="E51" s="204"/>
      <c r="F51" s="204"/>
      <c r="G51" s="204"/>
      <c r="H51" s="204"/>
      <c r="I51" s="204"/>
      <c r="J51" s="204"/>
      <c r="K51" s="204"/>
      <c r="L51" s="204"/>
      <c r="M51" s="204"/>
      <c r="N51" s="204"/>
      <c r="O51" s="204"/>
      <c r="P51" s="205"/>
      <c r="Q51" s="238"/>
      <c r="R51" s="205"/>
      <c r="S51" s="206"/>
      <c r="T51" s="207"/>
      <c r="U51" s="207"/>
      <c r="V51" s="207"/>
      <c r="W51" s="207"/>
      <c r="X51" s="205"/>
      <c r="Y51" s="205"/>
      <c r="Z51" s="208"/>
      <c r="AA51" s="209"/>
      <c r="AB51" s="207"/>
      <c r="AC51" s="206"/>
      <c r="AD51" s="210"/>
      <c r="AE51" s="211"/>
      <c r="AF51" s="213"/>
    </row>
    <row r="52" spans="1:32" ht="12" customHeight="1">
      <c r="A52" s="203"/>
      <c r="B52" s="203" t="s">
        <v>1482</v>
      </c>
      <c r="C52" s="203">
        <v>3</v>
      </c>
      <c r="D52" s="216" t="s">
        <v>1552</v>
      </c>
      <c r="E52" s="204"/>
      <c r="F52" s="204"/>
      <c r="G52" s="204"/>
      <c r="H52" s="204"/>
      <c r="I52" s="204"/>
      <c r="J52" s="204"/>
      <c r="K52" s="204"/>
      <c r="L52" s="204"/>
      <c r="M52" s="204"/>
      <c r="N52" s="204"/>
      <c r="O52" s="204"/>
      <c r="P52" s="205"/>
      <c r="Q52" s="238"/>
      <c r="R52" s="205"/>
      <c r="S52" s="206"/>
      <c r="T52" s="207"/>
      <c r="U52" s="207"/>
      <c r="V52" s="207"/>
      <c r="W52" s="207"/>
      <c r="X52" s="205"/>
      <c r="Y52" s="205"/>
      <c r="Z52" s="208"/>
      <c r="AA52" s="209"/>
      <c r="AB52" s="207"/>
      <c r="AC52" s="206"/>
      <c r="AD52" s="210"/>
      <c r="AE52" s="211"/>
      <c r="AF52" s="219"/>
    </row>
    <row r="53" spans="1:32" ht="12" customHeight="1">
      <c r="A53" s="203"/>
      <c r="B53" s="203"/>
      <c r="C53" s="203">
        <v>4</v>
      </c>
      <c r="D53" s="216" t="s">
        <v>1553</v>
      </c>
      <c r="E53" s="204"/>
      <c r="F53" s="204"/>
      <c r="G53" s="204"/>
      <c r="H53" s="204"/>
      <c r="I53" s="204"/>
      <c r="J53" s="204"/>
      <c r="K53" s="204"/>
      <c r="L53" s="204"/>
      <c r="M53" s="204"/>
      <c r="N53" s="204"/>
      <c r="O53" s="204"/>
      <c r="P53" s="205"/>
      <c r="Q53" s="238"/>
      <c r="R53" s="205"/>
      <c r="S53" s="206"/>
      <c r="T53" s="207"/>
      <c r="U53" s="207"/>
      <c r="V53" s="207"/>
      <c r="W53" s="207"/>
      <c r="X53" s="205"/>
      <c r="Y53" s="205"/>
      <c r="Z53" s="208"/>
      <c r="AA53" s="209"/>
      <c r="AB53" s="207"/>
      <c r="AC53" s="206"/>
      <c r="AD53" s="210"/>
      <c r="AE53" s="211"/>
      <c r="AF53" s="213"/>
    </row>
    <row r="54" spans="1:32" ht="12" customHeight="1">
      <c r="A54" s="203"/>
      <c r="B54" s="203"/>
      <c r="C54" s="203">
        <v>4</v>
      </c>
      <c r="D54" s="216" t="s">
        <v>1555</v>
      </c>
      <c r="E54" s="204"/>
      <c r="F54" s="204"/>
      <c r="G54" s="204"/>
      <c r="H54" s="204"/>
      <c r="I54" s="204"/>
      <c r="J54" s="204"/>
      <c r="K54" s="204"/>
      <c r="L54" s="204"/>
      <c r="M54" s="204"/>
      <c r="N54" s="204"/>
      <c r="O54" s="204"/>
      <c r="P54" s="205"/>
      <c r="Q54" s="238"/>
      <c r="R54" s="205"/>
      <c r="S54" s="206"/>
      <c r="T54" s="207"/>
      <c r="U54" s="207"/>
      <c r="V54" s="207"/>
      <c r="W54" s="207"/>
      <c r="X54" s="205"/>
      <c r="Y54" s="205"/>
      <c r="Z54" s="208"/>
      <c r="AA54" s="209"/>
      <c r="AB54" s="207"/>
      <c r="AC54" s="206"/>
      <c r="AD54" s="210"/>
      <c r="AE54" s="211"/>
      <c r="AF54" s="213"/>
    </row>
    <row r="55" spans="1:32" ht="12" customHeight="1">
      <c r="A55" s="203"/>
      <c r="B55" s="203"/>
      <c r="C55" s="203">
        <v>4</v>
      </c>
      <c r="D55" s="216" t="s">
        <v>1557</v>
      </c>
      <c r="E55" s="204"/>
      <c r="F55" s="204"/>
      <c r="G55" s="204"/>
      <c r="H55" s="204"/>
      <c r="I55" s="204"/>
      <c r="J55" s="204"/>
      <c r="K55" s="204"/>
      <c r="L55" s="204"/>
      <c r="M55" s="204"/>
      <c r="N55" s="204"/>
      <c r="O55" s="204"/>
      <c r="P55" s="205"/>
      <c r="Q55" s="238"/>
      <c r="R55" s="205"/>
      <c r="S55" s="206"/>
      <c r="T55" s="207"/>
      <c r="U55" s="207"/>
      <c r="V55" s="207"/>
      <c r="W55" s="207"/>
      <c r="X55" s="205"/>
      <c r="Y55" s="205"/>
      <c r="Z55" s="208"/>
      <c r="AA55" s="209"/>
      <c r="AB55" s="207"/>
      <c r="AC55" s="206"/>
      <c r="AD55" s="210"/>
      <c r="AE55" s="211"/>
      <c r="AF55" s="213"/>
    </row>
    <row r="56" spans="1:32" ht="12" customHeight="1">
      <c r="A56" s="203">
        <v>1</v>
      </c>
      <c r="B56" s="203"/>
      <c r="C56" s="203">
        <v>4</v>
      </c>
      <c r="D56" s="216" t="s">
        <v>1559</v>
      </c>
      <c r="E56" s="204"/>
      <c r="F56" s="204"/>
      <c r="G56" s="204"/>
      <c r="H56" s="204"/>
      <c r="I56" s="204"/>
      <c r="J56" s="204"/>
      <c r="K56" s="204"/>
      <c r="L56" s="204"/>
      <c r="M56" s="204"/>
      <c r="N56" s="204"/>
      <c r="O56" s="204"/>
      <c r="P56" s="205"/>
      <c r="Q56" s="238"/>
      <c r="R56" s="205"/>
      <c r="S56" s="206"/>
      <c r="T56" s="207"/>
      <c r="U56" s="207"/>
      <c r="V56" s="207"/>
      <c r="W56" s="207"/>
      <c r="X56" s="205"/>
      <c r="Y56" s="205"/>
      <c r="Z56" s="208"/>
      <c r="AA56" s="209"/>
      <c r="AB56" s="207"/>
      <c r="AC56" s="206"/>
      <c r="AD56" s="210"/>
      <c r="AE56" s="211"/>
      <c r="AF56" s="213"/>
    </row>
    <row r="57" spans="1:32" ht="12" customHeight="1">
      <c r="A57" s="192"/>
      <c r="B57" s="192"/>
      <c r="C57" s="192"/>
      <c r="D57" s="193"/>
      <c r="E57" s="194"/>
      <c r="F57" s="194"/>
      <c r="G57" s="194"/>
      <c r="H57" s="194"/>
      <c r="I57" s="194"/>
      <c r="J57" s="194"/>
      <c r="K57" s="194"/>
      <c r="L57" s="194"/>
      <c r="M57" s="194"/>
      <c r="N57" s="194"/>
      <c r="O57" s="194"/>
      <c r="P57" s="195"/>
      <c r="Q57" s="239"/>
      <c r="R57" s="195"/>
      <c r="S57" s="196"/>
      <c r="T57" s="197"/>
      <c r="U57" s="197"/>
      <c r="V57" s="197"/>
      <c r="W57" s="197"/>
      <c r="X57" s="195"/>
      <c r="Y57" s="195"/>
      <c r="Z57" s="198"/>
      <c r="AA57" s="199"/>
      <c r="AB57" s="197"/>
      <c r="AC57" s="196"/>
      <c r="AD57" s="200"/>
      <c r="AE57" s="201"/>
      <c r="AF57" s="202"/>
    </row>
  </sheetData>
  <sheetProtection formatCells="0" formatColumns="0" formatRows="0" insertColumns="0" insertRows="0" insertHyperlinks="0" deleteColumns="0" deleteRows="0" sort="0" autoFilter="0" pivotTables="0"/>
  <dataConsolidate/>
  <mergeCells count="27">
    <mergeCell ref="AK3:AN3"/>
    <mergeCell ref="AK2:AN2"/>
    <mergeCell ref="AG3:AJ3"/>
    <mergeCell ref="AG2:AJ2"/>
    <mergeCell ref="D2:F2"/>
    <mergeCell ref="O3:O4"/>
    <mergeCell ref="W3:W4"/>
    <mergeCell ref="Y3:Y4"/>
    <mergeCell ref="AA3:AA4"/>
    <mergeCell ref="P3:P4"/>
    <mergeCell ref="R3:R4"/>
    <mergeCell ref="T3:T4"/>
    <mergeCell ref="S3:S4"/>
    <mergeCell ref="U3:U4"/>
    <mergeCell ref="X3:X4"/>
    <mergeCell ref="V3:V4"/>
    <mergeCell ref="Z3:Z4"/>
    <mergeCell ref="AF3:AF4"/>
    <mergeCell ref="AE3:AE4"/>
    <mergeCell ref="AC3:AC4"/>
    <mergeCell ref="A3:A4"/>
    <mergeCell ref="B3:B4"/>
    <mergeCell ref="C3:C4"/>
    <mergeCell ref="D3:D4"/>
    <mergeCell ref="E3:N4"/>
    <mergeCell ref="AB3:AB4"/>
    <mergeCell ref="AD3:AD4"/>
  </mergeCells>
  <phoneticPr fontId="4" type="noConversion"/>
  <conditionalFormatting sqref="D5:AE34">
    <cfRule type="expression" dxfId="1" priority="2">
      <formula>($B5="G")</formula>
    </cfRule>
    <cfRule type="expression" dxfId="0" priority="1">
      <formula>($AF5=1)</formula>
    </cfRule>
  </conditionalFormatting>
  <hyperlinks>
    <hyperlink ref="AG1:BK1" r:id="rId1" display="https://xlworks.net/xlgantt-project-scheduler/" xr:uid="{B5F679EF-97FA-47A3-9CF2-6DBFDC7C4A22}"/>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1448</v>
      </c>
      <c r="B1" s="2"/>
      <c r="C1" s="2"/>
      <c r="D1" s="2"/>
      <c r="E1" s="2"/>
      <c r="F1" s="2"/>
      <c r="G1" s="2"/>
      <c r="H1" s="2"/>
      <c r="I1" s="2"/>
      <c r="J1" s="2"/>
      <c r="K1" s="2"/>
      <c r="L1" s="354"/>
      <c r="M1" s="355"/>
      <c r="N1" s="355"/>
      <c r="O1" s="3"/>
      <c r="P1" s="3"/>
      <c r="Q1" s="3"/>
    </row>
    <row r="2" spans="1:17" s="7" customFormat="1" ht="12.75">
      <c r="A2" s="5" t="s">
        <v>1451</v>
      </c>
      <c r="B2" s="6"/>
    </row>
    <row r="3" spans="1:17" s="7" customFormat="1" ht="12.75">
      <c r="A3" s="5" t="s">
        <v>1452</v>
      </c>
      <c r="B3" s="6"/>
    </row>
    <row r="4" spans="1:17" s="7" customFormat="1" ht="12.75">
      <c r="A4" s="356"/>
      <c r="B4" s="356"/>
      <c r="C4" s="8"/>
      <c r="D4" s="9"/>
      <c r="E4" s="9"/>
      <c r="F4" s="9"/>
    </row>
    <row r="5" spans="1:17" s="15" customFormat="1" ht="12.75">
      <c r="A5" s="10"/>
      <c r="B5" s="11"/>
      <c r="C5" s="12"/>
      <c r="D5" s="13"/>
      <c r="E5" s="14"/>
      <c r="F5" s="14"/>
      <c r="G5" s="14"/>
    </row>
    <row r="6" spans="1:17" s="15" customFormat="1" ht="12.75">
      <c r="A6" s="16" t="s">
        <v>1453</v>
      </c>
      <c r="B6" s="17">
        <v>23</v>
      </c>
      <c r="C6" s="15" t="s">
        <v>0</v>
      </c>
      <c r="D6" s="353" t="s">
        <v>1454</v>
      </c>
      <c r="E6" s="353"/>
      <c r="F6" s="353"/>
      <c r="G6" s="35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1455</v>
      </c>
      <c r="B9" s="17">
        <v>1</v>
      </c>
      <c r="C9" s="15" t="s">
        <v>0</v>
      </c>
      <c r="D9" s="352" t="s">
        <v>1456</v>
      </c>
      <c r="E9" s="352"/>
      <c r="F9" s="352"/>
      <c r="G9" s="35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1449</v>
      </c>
      <c r="B12" s="17">
        <v>1</v>
      </c>
      <c r="C12" s="15" t="s">
        <v>0</v>
      </c>
      <c r="D12" s="357" t="s">
        <v>1450</v>
      </c>
      <c r="E12" s="352"/>
      <c r="F12" s="352"/>
      <c r="G12" s="35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1457</v>
      </c>
      <c r="B15" s="17"/>
      <c r="C15" s="15" t="s">
        <v>0</v>
      </c>
      <c r="D15" s="352" t="s">
        <v>1458</v>
      </c>
      <c r="E15" s="352"/>
      <c r="F15" s="352"/>
      <c r="G15" s="35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1459</v>
      </c>
      <c r="B18" s="39">
        <v>4.3478260869565216E-2</v>
      </c>
      <c r="D18" s="352" t="s">
        <v>1460</v>
      </c>
      <c r="E18" s="352"/>
      <c r="F18" s="352"/>
      <c r="G18" s="35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1461</v>
      </c>
      <c r="B21" s="39">
        <v>4.3478260869565216E-2</v>
      </c>
      <c r="D21" s="352" t="s">
        <v>1462</v>
      </c>
      <c r="E21" s="352"/>
      <c r="F21" s="352"/>
      <c r="G21" s="35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1463</v>
      </c>
      <c r="B24" s="49">
        <f>ACTUAL_RATE-PLANNED_RATE</f>
        <v>0</v>
      </c>
      <c r="D24" s="353" t="s">
        <v>1464</v>
      </c>
      <c r="E24" s="353"/>
      <c r="F24" s="353"/>
      <c r="G24" s="353"/>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5"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20"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1571</v>
      </c>
    </row>
    <row r="2" spans="1:12">
      <c r="A2" s="136" t="s">
        <v>605</v>
      </c>
    </row>
    <row r="3" spans="1:12">
      <c r="A3" s="136" t="s">
        <v>608</v>
      </c>
    </row>
    <row r="6" spans="1:12" ht="45">
      <c r="A6" s="63" t="s">
        <v>1283</v>
      </c>
      <c r="B6" s="91" t="s">
        <v>341</v>
      </c>
      <c r="C6" s="91" t="s">
        <v>1284</v>
      </c>
      <c r="D6" s="91" t="s">
        <v>557</v>
      </c>
      <c r="E6" s="91" t="s">
        <v>558</v>
      </c>
      <c r="F6" s="221" t="s">
        <v>1572</v>
      </c>
      <c r="G6" s="222" t="s">
        <v>1573</v>
      </c>
      <c r="H6" s="222" t="s">
        <v>1574</v>
      </c>
      <c r="I6" s="222" t="s">
        <v>1575</v>
      </c>
      <c r="J6" s="222" t="s">
        <v>771</v>
      </c>
      <c r="K6" s="222" t="s">
        <v>601</v>
      </c>
      <c r="L6" s="223" t="s">
        <v>915</v>
      </c>
    </row>
    <row r="7" spans="1:12" outlineLevel="2">
      <c r="A7" s="224" t="s">
        <v>1483</v>
      </c>
      <c r="B7" s="225" t="s">
        <v>1501</v>
      </c>
      <c r="C7" s="224" t="s">
        <v>1502</v>
      </c>
      <c r="D7" s="226">
        <v>44358</v>
      </c>
      <c r="E7" s="226">
        <v>44358</v>
      </c>
      <c r="F7" s="220">
        <v>1</v>
      </c>
      <c r="G7" s="92">
        <v>1</v>
      </c>
      <c r="H7" s="92">
        <v>0</v>
      </c>
      <c r="I7" s="92">
        <v>0</v>
      </c>
      <c r="J7" s="220">
        <v>0</v>
      </c>
      <c r="K7" s="220">
        <v>0</v>
      </c>
      <c r="L7" s="220">
        <f t="shared" ref="L7:L51" si="0">K7-J7</f>
        <v>0</v>
      </c>
    </row>
    <row r="8" spans="1:12" outlineLevel="2">
      <c r="A8" s="224" t="s">
        <v>1483</v>
      </c>
      <c r="B8" s="225" t="s">
        <v>1507</v>
      </c>
      <c r="C8" s="224" t="s">
        <v>1508</v>
      </c>
      <c r="D8" s="226">
        <v>44487</v>
      </c>
      <c r="E8" s="226">
        <v>44487</v>
      </c>
      <c r="F8" s="220">
        <v>0</v>
      </c>
      <c r="G8" s="92">
        <v>0</v>
      </c>
      <c r="H8" s="92">
        <v>0</v>
      </c>
      <c r="I8" s="92">
        <v>0</v>
      </c>
      <c r="J8" s="220">
        <v>0</v>
      </c>
      <c r="K8" s="220">
        <v>0</v>
      </c>
      <c r="L8" s="220">
        <f t="shared" si="0"/>
        <v>0</v>
      </c>
    </row>
    <row r="9" spans="1:12" outlineLevel="2">
      <c r="A9" s="224" t="s">
        <v>1483</v>
      </c>
      <c r="B9" s="225" t="s">
        <v>1509</v>
      </c>
      <c r="C9" s="224" t="s">
        <v>1510</v>
      </c>
      <c r="D9" s="226">
        <v>44340</v>
      </c>
      <c r="E9" s="226">
        <v>44358</v>
      </c>
      <c r="F9" s="220">
        <v>1</v>
      </c>
      <c r="G9" s="92">
        <v>15</v>
      </c>
      <c r="H9" s="92">
        <v>7</v>
      </c>
      <c r="I9" s="92">
        <v>15</v>
      </c>
      <c r="J9" s="220">
        <v>0.46666666666666667</v>
      </c>
      <c r="K9" s="220">
        <v>1</v>
      </c>
      <c r="L9" s="220">
        <f t="shared" si="0"/>
        <v>0.53333333333333333</v>
      </c>
    </row>
    <row r="10" spans="1:12" outlineLevel="2">
      <c r="A10" s="224" t="s">
        <v>1483</v>
      </c>
      <c r="B10" s="225" t="s">
        <v>1512</v>
      </c>
      <c r="C10" s="224" t="s">
        <v>1513</v>
      </c>
      <c r="D10" s="226">
        <v>44346</v>
      </c>
      <c r="E10" s="226">
        <v>44357</v>
      </c>
      <c r="F10" s="220">
        <v>1</v>
      </c>
      <c r="G10" s="92">
        <v>9</v>
      </c>
      <c r="H10" s="92">
        <v>2</v>
      </c>
      <c r="I10" s="92">
        <v>1.8</v>
      </c>
      <c r="J10" s="220">
        <v>0.22222222222222221</v>
      </c>
      <c r="K10" s="220">
        <v>0.2</v>
      </c>
      <c r="L10" s="235">
        <f t="shared" si="0"/>
        <v>-2.2222222222222199E-2</v>
      </c>
    </row>
    <row r="11" spans="1:12" outlineLevel="2">
      <c r="A11" s="224" t="s">
        <v>1483</v>
      </c>
      <c r="B11" s="225" t="s">
        <v>1516</v>
      </c>
      <c r="C11" s="224" t="s">
        <v>1517</v>
      </c>
      <c r="D11" s="226">
        <v>44360</v>
      </c>
      <c r="E11" s="226">
        <v>44378</v>
      </c>
      <c r="F11" s="220">
        <v>1</v>
      </c>
      <c r="G11" s="92">
        <v>14</v>
      </c>
      <c r="H11" s="92">
        <v>0</v>
      </c>
      <c r="I11" s="92">
        <v>0</v>
      </c>
      <c r="J11" s="220">
        <v>0</v>
      </c>
      <c r="K11" s="220">
        <v>0</v>
      </c>
      <c r="L11" s="220">
        <f t="shared" si="0"/>
        <v>0</v>
      </c>
    </row>
    <row r="12" spans="1:12" outlineLevel="2">
      <c r="A12" s="224" t="s">
        <v>1483</v>
      </c>
      <c r="B12" s="225" t="s">
        <v>1519</v>
      </c>
      <c r="C12" s="224" t="s">
        <v>1520</v>
      </c>
      <c r="D12" s="226">
        <v>44367</v>
      </c>
      <c r="E12" s="226">
        <v>44378</v>
      </c>
      <c r="F12" s="220">
        <v>1</v>
      </c>
      <c r="G12" s="92">
        <v>9</v>
      </c>
      <c r="H12" s="92">
        <v>0</v>
      </c>
      <c r="I12" s="92">
        <v>0</v>
      </c>
      <c r="J12" s="220">
        <v>0</v>
      </c>
      <c r="K12" s="220">
        <v>0</v>
      </c>
      <c r="L12" s="220">
        <f t="shared" si="0"/>
        <v>0</v>
      </c>
    </row>
    <row r="13" spans="1:12" outlineLevel="2">
      <c r="A13" s="224" t="s">
        <v>1483</v>
      </c>
      <c r="B13" s="225" t="s">
        <v>1521</v>
      </c>
      <c r="C13" s="224" t="s">
        <v>1522</v>
      </c>
      <c r="D13" s="226">
        <v>44374</v>
      </c>
      <c r="E13" s="226">
        <v>44385</v>
      </c>
      <c r="F13" s="220">
        <v>1</v>
      </c>
      <c r="G13" s="92">
        <v>9</v>
      </c>
      <c r="H13" s="92">
        <v>0</v>
      </c>
      <c r="I13" s="92">
        <v>0</v>
      </c>
      <c r="J13" s="220">
        <v>0</v>
      </c>
      <c r="K13" s="220">
        <v>0</v>
      </c>
      <c r="L13" s="220">
        <f t="shared" si="0"/>
        <v>0</v>
      </c>
    </row>
    <row r="14" spans="1:12" outlineLevel="2">
      <c r="A14" s="224" t="s">
        <v>1483</v>
      </c>
      <c r="B14" s="225" t="s">
        <v>1523</v>
      </c>
      <c r="C14" s="224" t="s">
        <v>1524</v>
      </c>
      <c r="D14" s="226">
        <v>44374</v>
      </c>
      <c r="E14" s="226">
        <v>44392</v>
      </c>
      <c r="F14" s="220">
        <v>1</v>
      </c>
      <c r="G14" s="92">
        <v>14</v>
      </c>
      <c r="H14" s="92">
        <v>0</v>
      </c>
      <c r="I14" s="92">
        <v>0</v>
      </c>
      <c r="J14" s="220">
        <v>0</v>
      </c>
      <c r="K14" s="220">
        <v>0</v>
      </c>
      <c r="L14" s="220">
        <f t="shared" si="0"/>
        <v>0</v>
      </c>
    </row>
    <row r="15" spans="1:12" outlineLevel="2">
      <c r="A15" s="224" t="s">
        <v>1483</v>
      </c>
      <c r="B15" s="225" t="s">
        <v>1525</v>
      </c>
      <c r="C15" s="224" t="s">
        <v>1526</v>
      </c>
      <c r="D15" s="226">
        <v>44395</v>
      </c>
      <c r="E15" s="226">
        <v>44399</v>
      </c>
      <c r="F15" s="220">
        <v>1</v>
      </c>
      <c r="G15" s="92">
        <v>4</v>
      </c>
      <c r="H15" s="92">
        <v>0</v>
      </c>
      <c r="I15" s="92">
        <v>0</v>
      </c>
      <c r="J15" s="220">
        <v>0</v>
      </c>
      <c r="K15" s="220">
        <v>0</v>
      </c>
      <c r="L15" s="220">
        <f t="shared" si="0"/>
        <v>0</v>
      </c>
    </row>
    <row r="16" spans="1:12" outlineLevel="2">
      <c r="A16" s="224" t="s">
        <v>1483</v>
      </c>
      <c r="B16" s="225" t="s">
        <v>1528</v>
      </c>
      <c r="C16" s="224" t="s">
        <v>1529</v>
      </c>
      <c r="D16" s="226">
        <v>44395</v>
      </c>
      <c r="E16" s="226">
        <v>44399</v>
      </c>
      <c r="F16" s="220">
        <v>1</v>
      </c>
      <c r="G16" s="92">
        <v>4</v>
      </c>
      <c r="H16" s="92">
        <v>0</v>
      </c>
      <c r="I16" s="92">
        <v>0</v>
      </c>
      <c r="J16" s="220">
        <v>0</v>
      </c>
      <c r="K16" s="220">
        <v>0</v>
      </c>
      <c r="L16" s="220">
        <f t="shared" si="0"/>
        <v>0</v>
      </c>
    </row>
    <row r="17" spans="1:12" outlineLevel="2">
      <c r="A17" s="224" t="s">
        <v>1483</v>
      </c>
      <c r="B17" s="225" t="s">
        <v>1532</v>
      </c>
      <c r="C17" s="224" t="s">
        <v>1533</v>
      </c>
      <c r="D17" s="226">
        <v>44395</v>
      </c>
      <c r="E17" s="226">
        <v>44399</v>
      </c>
      <c r="F17" s="220">
        <v>1</v>
      </c>
      <c r="G17" s="92">
        <v>4</v>
      </c>
      <c r="H17" s="92">
        <v>0</v>
      </c>
      <c r="I17" s="92">
        <v>0</v>
      </c>
      <c r="J17" s="220">
        <v>0</v>
      </c>
      <c r="K17" s="220">
        <v>0</v>
      </c>
      <c r="L17" s="220">
        <f t="shared" si="0"/>
        <v>0</v>
      </c>
    </row>
    <row r="18" spans="1:12" outlineLevel="2">
      <c r="A18" s="224" t="s">
        <v>1483</v>
      </c>
      <c r="B18" s="225" t="s">
        <v>1534</v>
      </c>
      <c r="C18" s="224" t="s">
        <v>1535</v>
      </c>
      <c r="D18" s="226">
        <v>44402</v>
      </c>
      <c r="E18" s="226">
        <v>44406</v>
      </c>
      <c r="F18" s="220">
        <v>1</v>
      </c>
      <c r="G18" s="92">
        <v>4</v>
      </c>
      <c r="H18" s="92">
        <v>0</v>
      </c>
      <c r="I18" s="92">
        <v>0</v>
      </c>
      <c r="J18" s="220">
        <v>0</v>
      </c>
      <c r="K18" s="220">
        <v>0</v>
      </c>
      <c r="L18" s="220">
        <f t="shared" si="0"/>
        <v>0</v>
      </c>
    </row>
    <row r="19" spans="1:12" outlineLevel="2">
      <c r="A19" s="224" t="s">
        <v>1483</v>
      </c>
      <c r="B19" s="225" t="s">
        <v>1536</v>
      </c>
      <c r="C19" s="224" t="s">
        <v>1537</v>
      </c>
      <c r="D19" s="226">
        <v>44402</v>
      </c>
      <c r="E19" s="226">
        <v>44413</v>
      </c>
      <c r="F19" s="220">
        <v>1</v>
      </c>
      <c r="G19" s="92">
        <v>9</v>
      </c>
      <c r="H19" s="92">
        <v>0</v>
      </c>
      <c r="I19" s="92">
        <v>0</v>
      </c>
      <c r="J19" s="220">
        <v>0</v>
      </c>
      <c r="K19" s="220">
        <v>0</v>
      </c>
      <c r="L19" s="220">
        <f t="shared" si="0"/>
        <v>0</v>
      </c>
    </row>
    <row r="20" spans="1:12" outlineLevel="2">
      <c r="A20" s="224" t="s">
        <v>1483</v>
      </c>
      <c r="B20" s="225" t="s">
        <v>1538</v>
      </c>
      <c r="C20" s="224" t="s">
        <v>1539</v>
      </c>
      <c r="D20" s="226">
        <v>44395</v>
      </c>
      <c r="E20" s="226">
        <v>44454</v>
      </c>
      <c r="F20" s="220">
        <v>1</v>
      </c>
      <c r="G20" s="92">
        <v>43</v>
      </c>
      <c r="H20" s="92">
        <v>0</v>
      </c>
      <c r="I20" s="92">
        <v>0</v>
      </c>
      <c r="J20" s="220">
        <v>0</v>
      </c>
      <c r="K20" s="220">
        <v>0</v>
      </c>
      <c r="L20" s="220">
        <f t="shared" si="0"/>
        <v>0</v>
      </c>
    </row>
    <row r="21" spans="1:12" outlineLevel="2">
      <c r="A21" s="224" t="s">
        <v>1483</v>
      </c>
      <c r="B21" s="225" t="s">
        <v>1540</v>
      </c>
      <c r="C21" s="224" t="s">
        <v>1541</v>
      </c>
      <c r="D21" s="226">
        <v>44395</v>
      </c>
      <c r="E21" s="226">
        <v>44454</v>
      </c>
      <c r="F21" s="220">
        <v>1</v>
      </c>
      <c r="G21" s="92">
        <v>43</v>
      </c>
      <c r="H21" s="92">
        <v>0</v>
      </c>
      <c r="I21" s="92">
        <v>0</v>
      </c>
      <c r="J21" s="220">
        <v>0</v>
      </c>
      <c r="K21" s="220">
        <v>0</v>
      </c>
      <c r="L21" s="220">
        <f t="shared" si="0"/>
        <v>0</v>
      </c>
    </row>
    <row r="22" spans="1:12" outlineLevel="2">
      <c r="A22" s="224" t="s">
        <v>1483</v>
      </c>
      <c r="B22" s="225" t="s">
        <v>1542</v>
      </c>
      <c r="C22" s="224" t="s">
        <v>1543</v>
      </c>
      <c r="D22" s="226">
        <v>44409</v>
      </c>
      <c r="E22" s="226">
        <v>44454</v>
      </c>
      <c r="F22" s="220">
        <v>1</v>
      </c>
      <c r="G22" s="92">
        <v>33</v>
      </c>
      <c r="H22" s="92">
        <v>0</v>
      </c>
      <c r="I22" s="92">
        <v>0</v>
      </c>
      <c r="J22" s="220">
        <v>0</v>
      </c>
      <c r="K22" s="220">
        <v>0</v>
      </c>
      <c r="L22" s="220">
        <f t="shared" si="0"/>
        <v>0</v>
      </c>
    </row>
    <row r="23" spans="1:12" outlineLevel="2">
      <c r="A23" s="224" t="s">
        <v>1483</v>
      </c>
      <c r="B23" s="225" t="s">
        <v>1545</v>
      </c>
      <c r="C23" s="224" t="s">
        <v>1546</v>
      </c>
      <c r="D23" s="226">
        <v>44437</v>
      </c>
      <c r="E23" s="226">
        <v>44455</v>
      </c>
      <c r="F23" s="220">
        <v>1</v>
      </c>
      <c r="G23" s="92">
        <v>14</v>
      </c>
      <c r="H23" s="92">
        <v>0</v>
      </c>
      <c r="I23" s="92">
        <v>0</v>
      </c>
      <c r="J23" s="220">
        <v>0</v>
      </c>
      <c r="K23" s="220">
        <v>0</v>
      </c>
      <c r="L23" s="220">
        <f t="shared" si="0"/>
        <v>0</v>
      </c>
    </row>
    <row r="24" spans="1:12" outlineLevel="2">
      <c r="A24" s="224" t="s">
        <v>1483</v>
      </c>
      <c r="B24" s="225" t="s">
        <v>1547</v>
      </c>
      <c r="C24" s="224" t="s">
        <v>1548</v>
      </c>
      <c r="D24" s="226">
        <v>44458</v>
      </c>
      <c r="E24" s="226">
        <v>44462</v>
      </c>
      <c r="F24" s="220">
        <v>1</v>
      </c>
      <c r="G24" s="92">
        <v>1</v>
      </c>
      <c r="H24" s="92">
        <v>0</v>
      </c>
      <c r="I24" s="92">
        <v>0</v>
      </c>
      <c r="J24" s="220">
        <v>0</v>
      </c>
      <c r="K24" s="220">
        <v>0</v>
      </c>
      <c r="L24" s="220">
        <f t="shared" si="0"/>
        <v>0</v>
      </c>
    </row>
    <row r="25" spans="1:12" outlineLevel="2">
      <c r="A25" s="224" t="s">
        <v>1483</v>
      </c>
      <c r="B25" s="225" t="s">
        <v>1550</v>
      </c>
      <c r="C25" s="224" t="s">
        <v>1551</v>
      </c>
      <c r="D25" s="226">
        <v>44458</v>
      </c>
      <c r="E25" s="226">
        <v>44460</v>
      </c>
      <c r="F25" s="220">
        <v>1</v>
      </c>
      <c r="G25" s="92">
        <v>0</v>
      </c>
      <c r="H25" s="92">
        <v>0</v>
      </c>
      <c r="I25" s="92">
        <v>0</v>
      </c>
      <c r="J25" s="220">
        <v>0</v>
      </c>
      <c r="K25" s="220">
        <v>0</v>
      </c>
      <c r="L25" s="220">
        <f t="shared" si="0"/>
        <v>0</v>
      </c>
    </row>
    <row r="26" spans="1:12" outlineLevel="2">
      <c r="A26" s="224" t="s">
        <v>1483</v>
      </c>
      <c r="B26" s="225" t="s">
        <v>1553</v>
      </c>
      <c r="C26" s="224" t="s">
        <v>1554</v>
      </c>
      <c r="D26" s="226">
        <v>44462</v>
      </c>
      <c r="E26" s="226">
        <v>44464</v>
      </c>
      <c r="F26" s="220">
        <v>1</v>
      </c>
      <c r="G26" s="92">
        <v>2</v>
      </c>
      <c r="H26" s="92">
        <v>0</v>
      </c>
      <c r="I26" s="92">
        <v>0</v>
      </c>
      <c r="J26" s="220">
        <v>0</v>
      </c>
      <c r="K26" s="220">
        <v>0</v>
      </c>
      <c r="L26" s="220">
        <f t="shared" si="0"/>
        <v>0</v>
      </c>
    </row>
    <row r="27" spans="1:12" outlineLevel="2">
      <c r="A27" s="224" t="s">
        <v>1483</v>
      </c>
      <c r="B27" s="225" t="s">
        <v>1555</v>
      </c>
      <c r="C27" s="224" t="s">
        <v>1556</v>
      </c>
      <c r="D27" s="226">
        <v>44462</v>
      </c>
      <c r="E27" s="226">
        <v>44464</v>
      </c>
      <c r="F27" s="220">
        <v>1</v>
      </c>
      <c r="G27" s="92">
        <v>2</v>
      </c>
      <c r="H27" s="92">
        <v>0</v>
      </c>
      <c r="I27" s="92">
        <v>0</v>
      </c>
      <c r="J27" s="220">
        <v>0</v>
      </c>
      <c r="K27" s="220">
        <v>0</v>
      </c>
      <c r="L27" s="220">
        <f t="shared" si="0"/>
        <v>0</v>
      </c>
    </row>
    <row r="28" spans="1:12" outlineLevel="2">
      <c r="A28" s="224" t="s">
        <v>1483</v>
      </c>
      <c r="B28" s="225" t="s">
        <v>1557</v>
      </c>
      <c r="C28" s="224" t="s">
        <v>1558</v>
      </c>
      <c r="D28" s="226">
        <v>44462</v>
      </c>
      <c r="E28" s="226">
        <v>44464</v>
      </c>
      <c r="F28" s="220">
        <v>1</v>
      </c>
      <c r="G28" s="92">
        <v>2</v>
      </c>
      <c r="H28" s="92">
        <v>0</v>
      </c>
      <c r="I28" s="92">
        <v>0</v>
      </c>
      <c r="J28" s="220">
        <v>0</v>
      </c>
      <c r="K28" s="220">
        <v>0</v>
      </c>
      <c r="L28" s="220">
        <f t="shared" si="0"/>
        <v>0</v>
      </c>
    </row>
    <row r="29" spans="1:12" outlineLevel="2">
      <c r="A29" s="224" t="s">
        <v>1483</v>
      </c>
      <c r="B29" s="225" t="s">
        <v>1559</v>
      </c>
      <c r="C29" s="224" t="s">
        <v>1560</v>
      </c>
      <c r="D29" s="226">
        <v>44465</v>
      </c>
      <c r="E29" s="226">
        <v>44465</v>
      </c>
      <c r="F29" s="220">
        <v>0</v>
      </c>
      <c r="G29" s="92">
        <v>0</v>
      </c>
      <c r="H29" s="92">
        <v>0</v>
      </c>
      <c r="I29" s="92">
        <v>0</v>
      </c>
      <c r="J29" s="220">
        <v>0</v>
      </c>
      <c r="K29" s="220">
        <v>0</v>
      </c>
      <c r="L29" s="220">
        <f t="shared" si="0"/>
        <v>0</v>
      </c>
    </row>
    <row r="30" spans="1:12" outlineLevel="1">
      <c r="A30" s="227" t="s">
        <v>1576</v>
      </c>
      <c r="B30" s="228"/>
      <c r="C30" s="229"/>
      <c r="D30" s="230"/>
      <c r="E30" s="230"/>
      <c r="F30" s="231"/>
      <c r="G30" s="232">
        <f>SUBTOTAL(9,G7:G29)</f>
        <v>236</v>
      </c>
      <c r="H30" s="232">
        <f>SUBTOTAL(9,H7:H29)</f>
        <v>9</v>
      </c>
      <c r="I30" s="232">
        <f>SUBTOTAL(9,I7:I29)</f>
        <v>16.8</v>
      </c>
      <c r="J30" s="231">
        <f>H30/G30</f>
        <v>3.8135593220338986E-2</v>
      </c>
      <c r="K30" s="231">
        <f>I30/G30</f>
        <v>7.1186440677966104E-2</v>
      </c>
      <c r="L30" s="231">
        <f t="shared" si="0"/>
        <v>3.3050847457627118E-2</v>
      </c>
    </row>
    <row r="31" spans="1:12" outlineLevel="2">
      <c r="A31" s="224" t="s">
        <v>1335</v>
      </c>
      <c r="B31" s="225" t="s">
        <v>1098</v>
      </c>
      <c r="C31" s="224" t="s">
        <v>1492</v>
      </c>
      <c r="D31" s="226">
        <v>44336</v>
      </c>
      <c r="E31" s="226">
        <v>44337</v>
      </c>
      <c r="F31" s="220">
        <v>1</v>
      </c>
      <c r="G31" s="92">
        <v>2</v>
      </c>
      <c r="H31" s="92">
        <v>2</v>
      </c>
      <c r="I31" s="92">
        <v>2</v>
      </c>
      <c r="J31" s="220">
        <v>1</v>
      </c>
      <c r="K31" s="220">
        <v>1</v>
      </c>
      <c r="L31" s="220">
        <f t="shared" si="0"/>
        <v>0</v>
      </c>
    </row>
    <row r="32" spans="1:12" outlineLevel="2">
      <c r="A32" s="224" t="s">
        <v>1335</v>
      </c>
      <c r="B32" s="225" t="s">
        <v>1103</v>
      </c>
      <c r="C32" s="224" t="s">
        <v>1503</v>
      </c>
      <c r="D32" s="226">
        <v>44462</v>
      </c>
      <c r="E32" s="226">
        <v>44466</v>
      </c>
      <c r="F32" s="220">
        <v>1</v>
      </c>
      <c r="G32" s="92">
        <v>3</v>
      </c>
      <c r="H32" s="92">
        <v>0</v>
      </c>
      <c r="I32" s="92">
        <v>0</v>
      </c>
      <c r="J32" s="220">
        <v>0</v>
      </c>
      <c r="K32" s="220">
        <v>0</v>
      </c>
      <c r="L32" s="220">
        <f t="shared" si="0"/>
        <v>0</v>
      </c>
    </row>
    <row r="33" spans="1:12" outlineLevel="1">
      <c r="A33" s="227" t="s">
        <v>1577</v>
      </c>
      <c r="B33" s="228"/>
      <c r="C33" s="229"/>
      <c r="D33" s="230"/>
      <c r="E33" s="230"/>
      <c r="F33" s="231"/>
      <c r="G33" s="232">
        <f>SUBTOTAL(9,G31:G32)</f>
        <v>5</v>
      </c>
      <c r="H33" s="232">
        <f>SUBTOTAL(9,H31:H32)</f>
        <v>2</v>
      </c>
      <c r="I33" s="232">
        <f>SUBTOTAL(9,I31:I32)</f>
        <v>2</v>
      </c>
      <c r="J33" s="231">
        <f>H33/G33</f>
        <v>0.4</v>
      </c>
      <c r="K33" s="231">
        <f>I33/G33</f>
        <v>0.4</v>
      </c>
      <c r="L33" s="231">
        <f t="shared" si="0"/>
        <v>0</v>
      </c>
    </row>
    <row r="34" spans="1:12" outlineLevel="2">
      <c r="A34" s="224" t="s">
        <v>1369</v>
      </c>
      <c r="B34" s="225" t="s">
        <v>1505</v>
      </c>
      <c r="C34" s="224" t="s">
        <v>1506</v>
      </c>
      <c r="D34" s="226">
        <v>44487</v>
      </c>
      <c r="E34" s="226">
        <v>44487</v>
      </c>
      <c r="F34" s="220">
        <v>1</v>
      </c>
      <c r="G34" s="92">
        <v>1</v>
      </c>
      <c r="H34" s="92">
        <v>0</v>
      </c>
      <c r="I34" s="92">
        <v>0</v>
      </c>
      <c r="J34" s="220">
        <v>0</v>
      </c>
      <c r="K34" s="220">
        <v>0</v>
      </c>
      <c r="L34" s="220">
        <f t="shared" si="0"/>
        <v>0</v>
      </c>
    </row>
    <row r="35" spans="1:12" outlineLevel="1">
      <c r="A35" s="227" t="s">
        <v>1578</v>
      </c>
      <c r="B35" s="228"/>
      <c r="C35" s="229"/>
      <c r="D35" s="230"/>
      <c r="E35" s="230"/>
      <c r="F35" s="231"/>
      <c r="G35" s="232">
        <f>SUBTOTAL(9,G34:G34)</f>
        <v>1</v>
      </c>
      <c r="H35" s="232">
        <f>SUBTOTAL(9,H34:H34)</f>
        <v>0</v>
      </c>
      <c r="I35" s="232">
        <f>SUBTOTAL(9,I34:I34)</f>
        <v>0</v>
      </c>
      <c r="J35" s="231">
        <f>H35/G35</f>
        <v>0</v>
      </c>
      <c r="K35" s="231">
        <f>I35/G35</f>
        <v>0</v>
      </c>
      <c r="L35" s="231">
        <f t="shared" si="0"/>
        <v>0</v>
      </c>
    </row>
    <row r="36" spans="1:12" outlineLevel="2">
      <c r="A36" s="224" t="s">
        <v>1336</v>
      </c>
      <c r="B36" s="225" t="s">
        <v>1514</v>
      </c>
      <c r="C36" s="224" t="s">
        <v>1515</v>
      </c>
      <c r="D36" s="226">
        <v>44346</v>
      </c>
      <c r="E36" s="226">
        <v>44357</v>
      </c>
      <c r="F36" s="220">
        <v>1.2</v>
      </c>
      <c r="G36" s="92">
        <v>10.8</v>
      </c>
      <c r="H36" s="92">
        <v>2.4</v>
      </c>
      <c r="I36" s="92">
        <v>1.62</v>
      </c>
      <c r="J36" s="220">
        <v>0.22222222222222221</v>
      </c>
      <c r="K36" s="220">
        <v>0.15</v>
      </c>
      <c r="L36" s="235">
        <f t="shared" si="0"/>
        <v>-7.2222222222222215E-2</v>
      </c>
    </row>
    <row r="37" spans="1:12" outlineLevel="1">
      <c r="A37" s="227" t="s">
        <v>1579</v>
      </c>
      <c r="B37" s="228"/>
      <c r="C37" s="229"/>
      <c r="D37" s="230"/>
      <c r="E37" s="230"/>
      <c r="F37" s="231"/>
      <c r="G37" s="232">
        <f>SUBTOTAL(9,G36:G36)</f>
        <v>10.8</v>
      </c>
      <c r="H37" s="232">
        <f>SUBTOTAL(9,H36:H36)</f>
        <v>2.4</v>
      </c>
      <c r="I37" s="232">
        <f>SUBTOTAL(9,I36:I36)</f>
        <v>1.62</v>
      </c>
      <c r="J37" s="231">
        <f>H37/G37</f>
        <v>0.22222222222222221</v>
      </c>
      <c r="K37" s="231">
        <f>I37/G37</f>
        <v>0.15</v>
      </c>
      <c r="L37" s="236">
        <f t="shared" si="0"/>
        <v>-7.2222222222222215E-2</v>
      </c>
    </row>
    <row r="38" spans="1:12" outlineLevel="2">
      <c r="A38" s="224" t="s">
        <v>1568</v>
      </c>
      <c r="B38" s="225" t="s">
        <v>1101</v>
      </c>
      <c r="C38" s="224" t="s">
        <v>1497</v>
      </c>
      <c r="D38" s="226">
        <v>44361</v>
      </c>
      <c r="E38" s="226">
        <v>44365</v>
      </c>
      <c r="F38" s="220">
        <v>0.2</v>
      </c>
      <c r="G38" s="92">
        <v>1</v>
      </c>
      <c r="H38" s="92">
        <v>0</v>
      </c>
      <c r="I38" s="92">
        <v>0.5</v>
      </c>
      <c r="J38" s="220">
        <v>0</v>
      </c>
      <c r="K38" s="220">
        <v>0.5</v>
      </c>
      <c r="L38" s="220">
        <f t="shared" si="0"/>
        <v>0.5</v>
      </c>
    </row>
    <row r="39" spans="1:12" outlineLevel="2">
      <c r="A39" s="224" t="s">
        <v>1568</v>
      </c>
      <c r="B39" s="225" t="s">
        <v>1122</v>
      </c>
      <c r="C39" s="224" t="s">
        <v>1498</v>
      </c>
      <c r="D39" s="226">
        <v>44393</v>
      </c>
      <c r="E39" s="226">
        <v>44393</v>
      </c>
      <c r="F39" s="220">
        <v>0.2</v>
      </c>
      <c r="G39" s="92">
        <v>0.2</v>
      </c>
      <c r="H39" s="92">
        <v>0</v>
      </c>
      <c r="I39" s="92">
        <v>0</v>
      </c>
      <c r="J39" s="220">
        <v>0</v>
      </c>
      <c r="K39" s="220">
        <v>0</v>
      </c>
      <c r="L39" s="220">
        <f t="shared" si="0"/>
        <v>0</v>
      </c>
    </row>
    <row r="40" spans="1:12" outlineLevel="2">
      <c r="A40" s="224" t="s">
        <v>1568</v>
      </c>
      <c r="B40" s="225" t="s">
        <v>1499</v>
      </c>
      <c r="C40" s="224" t="s">
        <v>1500</v>
      </c>
      <c r="D40" s="226">
        <v>44429</v>
      </c>
      <c r="E40" s="226">
        <v>44454</v>
      </c>
      <c r="F40" s="220">
        <v>0.2</v>
      </c>
      <c r="G40" s="92">
        <v>3.6</v>
      </c>
      <c r="H40" s="92">
        <v>0</v>
      </c>
      <c r="I40" s="92">
        <v>0</v>
      </c>
      <c r="J40" s="220">
        <v>0</v>
      </c>
      <c r="K40" s="220">
        <v>0</v>
      </c>
      <c r="L40" s="220">
        <f t="shared" si="0"/>
        <v>0</v>
      </c>
    </row>
    <row r="41" spans="1:12" outlineLevel="1">
      <c r="A41" s="227" t="s">
        <v>1580</v>
      </c>
      <c r="B41" s="228"/>
      <c r="C41" s="229"/>
      <c r="D41" s="230"/>
      <c r="E41" s="230"/>
      <c r="F41" s="231"/>
      <c r="G41" s="232">
        <f>SUBTOTAL(9,G38:G40)</f>
        <v>4.8</v>
      </c>
      <c r="H41" s="232">
        <f>SUBTOTAL(9,H38:H40)</f>
        <v>0</v>
      </c>
      <c r="I41" s="232">
        <f>SUBTOTAL(9,I38:I40)</f>
        <v>0.5</v>
      </c>
      <c r="J41" s="231">
        <f>H41/G41</f>
        <v>0</v>
      </c>
      <c r="K41" s="231">
        <f>I41/G41</f>
        <v>0.10416666666666667</v>
      </c>
      <c r="L41" s="231">
        <f t="shared" si="0"/>
        <v>0.10416666666666667</v>
      </c>
    </row>
    <row r="42" spans="1:12" outlineLevel="2">
      <c r="A42" s="224" t="s">
        <v>1370</v>
      </c>
      <c r="B42" s="225" t="s">
        <v>1505</v>
      </c>
      <c r="C42" s="224" t="s">
        <v>1506</v>
      </c>
      <c r="D42" s="226">
        <v>44487</v>
      </c>
      <c r="E42" s="226">
        <v>44487</v>
      </c>
      <c r="F42" s="220">
        <v>1</v>
      </c>
      <c r="G42" s="92">
        <v>1</v>
      </c>
      <c r="H42" s="92">
        <v>0</v>
      </c>
      <c r="I42" s="92">
        <v>0</v>
      </c>
      <c r="J42" s="220">
        <v>0</v>
      </c>
      <c r="K42" s="220">
        <v>0</v>
      </c>
      <c r="L42" s="220">
        <f t="shared" si="0"/>
        <v>0</v>
      </c>
    </row>
    <row r="43" spans="1:12" outlineLevel="1">
      <c r="A43" s="227" t="s">
        <v>1581</v>
      </c>
      <c r="B43" s="228"/>
      <c r="C43" s="229"/>
      <c r="D43" s="230"/>
      <c r="E43" s="230"/>
      <c r="F43" s="231"/>
      <c r="G43" s="232">
        <f>SUBTOTAL(9,G42:G42)</f>
        <v>1</v>
      </c>
      <c r="H43" s="232">
        <f>SUBTOTAL(9,H42:H42)</f>
        <v>0</v>
      </c>
      <c r="I43" s="232">
        <f>SUBTOTAL(9,I42:I42)</f>
        <v>0</v>
      </c>
      <c r="J43" s="231">
        <f>H43/G43</f>
        <v>0</v>
      </c>
      <c r="K43" s="231">
        <f>I43/G43</f>
        <v>0</v>
      </c>
      <c r="L43" s="231">
        <f t="shared" si="0"/>
        <v>0</v>
      </c>
    </row>
    <row r="44" spans="1:12" outlineLevel="2">
      <c r="A44" s="224" t="s">
        <v>1334</v>
      </c>
      <c r="B44" s="225" t="s">
        <v>1098</v>
      </c>
      <c r="C44" s="224" t="s">
        <v>1492</v>
      </c>
      <c r="D44" s="226">
        <v>44336</v>
      </c>
      <c r="E44" s="226">
        <v>44337</v>
      </c>
      <c r="F44" s="220">
        <v>1</v>
      </c>
      <c r="G44" s="92">
        <v>2</v>
      </c>
      <c r="H44" s="92">
        <v>2</v>
      </c>
      <c r="I44" s="92">
        <v>2</v>
      </c>
      <c r="J44" s="220">
        <v>1</v>
      </c>
      <c r="K44" s="220">
        <v>1</v>
      </c>
      <c r="L44" s="220">
        <f t="shared" si="0"/>
        <v>0</v>
      </c>
    </row>
    <row r="45" spans="1:12" outlineLevel="2">
      <c r="A45" s="224" t="s">
        <v>1334</v>
      </c>
      <c r="B45" s="225" t="s">
        <v>1493</v>
      </c>
      <c r="C45" s="224" t="s">
        <v>1494</v>
      </c>
      <c r="D45" s="226">
        <v>44340</v>
      </c>
      <c r="E45" s="226">
        <v>44346</v>
      </c>
      <c r="F45" s="220">
        <v>1</v>
      </c>
      <c r="G45" s="92">
        <v>5</v>
      </c>
      <c r="H45" s="92">
        <v>5</v>
      </c>
      <c r="I45" s="92">
        <v>4.5</v>
      </c>
      <c r="J45" s="220">
        <v>1</v>
      </c>
      <c r="K45" s="220">
        <v>0.9</v>
      </c>
      <c r="L45" s="235">
        <f t="shared" si="0"/>
        <v>-9.9999999999999978E-2</v>
      </c>
    </row>
    <row r="46" spans="1:12" outlineLevel="2">
      <c r="A46" s="224" t="s">
        <v>1334</v>
      </c>
      <c r="B46" s="225" t="s">
        <v>1495</v>
      </c>
      <c r="C46" s="224" t="s">
        <v>1496</v>
      </c>
      <c r="D46" s="226">
        <v>44358</v>
      </c>
      <c r="E46" s="226">
        <v>44358</v>
      </c>
      <c r="F46" s="220">
        <v>0</v>
      </c>
      <c r="G46" s="92">
        <v>0</v>
      </c>
      <c r="H46" s="92">
        <v>0</v>
      </c>
      <c r="I46" s="92">
        <v>0</v>
      </c>
      <c r="J46" s="220">
        <v>0</v>
      </c>
      <c r="K46" s="220">
        <v>0</v>
      </c>
      <c r="L46" s="220">
        <f t="shared" si="0"/>
        <v>0</v>
      </c>
    </row>
    <row r="47" spans="1:12" outlineLevel="2">
      <c r="A47" s="224" t="s">
        <v>1334</v>
      </c>
      <c r="B47" s="225" t="s">
        <v>1103</v>
      </c>
      <c r="C47" s="224" t="s">
        <v>1503</v>
      </c>
      <c r="D47" s="226">
        <v>44462</v>
      </c>
      <c r="E47" s="226">
        <v>44466</v>
      </c>
      <c r="F47" s="220">
        <v>1</v>
      </c>
      <c r="G47" s="92">
        <v>3</v>
      </c>
      <c r="H47" s="92">
        <v>0</v>
      </c>
      <c r="I47" s="92">
        <v>0</v>
      </c>
      <c r="J47" s="220">
        <v>0</v>
      </c>
      <c r="K47" s="220">
        <v>0</v>
      </c>
      <c r="L47" s="220">
        <f t="shared" si="0"/>
        <v>0</v>
      </c>
    </row>
    <row r="48" spans="1:12" outlineLevel="2">
      <c r="A48" s="224" t="s">
        <v>1334</v>
      </c>
      <c r="B48" s="225" t="s">
        <v>1514</v>
      </c>
      <c r="C48" s="224" t="s">
        <v>1515</v>
      </c>
      <c r="D48" s="226">
        <v>44346</v>
      </c>
      <c r="E48" s="226">
        <v>44357</v>
      </c>
      <c r="F48" s="220">
        <v>0.5</v>
      </c>
      <c r="G48" s="92">
        <v>4.5</v>
      </c>
      <c r="H48" s="92">
        <v>1</v>
      </c>
      <c r="I48" s="92">
        <v>0.67499999999999993</v>
      </c>
      <c r="J48" s="220">
        <v>0.22222222222222221</v>
      </c>
      <c r="K48" s="220">
        <v>0.15</v>
      </c>
      <c r="L48" s="235">
        <f t="shared" si="0"/>
        <v>-7.2222222222222215E-2</v>
      </c>
    </row>
    <row r="49" spans="1:12" outlineLevel="1">
      <c r="A49" s="227" t="s">
        <v>1582</v>
      </c>
      <c r="B49" s="228"/>
      <c r="C49" s="229"/>
      <c r="D49" s="230"/>
      <c r="E49" s="230"/>
      <c r="F49" s="231"/>
      <c r="G49" s="232">
        <f>SUBTOTAL(9,G44:G48)</f>
        <v>14.5</v>
      </c>
      <c r="H49" s="232">
        <f>SUBTOTAL(9,H44:H48)</f>
        <v>8</v>
      </c>
      <c r="I49" s="232">
        <f>SUBTOTAL(9,I44:I48)</f>
        <v>7.1749999999999998</v>
      </c>
      <c r="J49" s="231">
        <f>H49/G49</f>
        <v>0.55172413793103448</v>
      </c>
      <c r="K49" s="231">
        <f>I49/G49</f>
        <v>0.49482758620689654</v>
      </c>
      <c r="L49" s="236">
        <f t="shared" si="0"/>
        <v>-5.6896551724137934E-2</v>
      </c>
    </row>
    <row r="50" spans="1:12" outlineLevel="2">
      <c r="A50" s="224" t="s">
        <v>739</v>
      </c>
      <c r="B50" s="225" t="s">
        <v>1123</v>
      </c>
      <c r="C50" s="224" t="s">
        <v>1504</v>
      </c>
      <c r="D50" s="226">
        <v>44469</v>
      </c>
      <c r="E50" s="226">
        <v>44487</v>
      </c>
      <c r="F50" s="220">
        <v>1</v>
      </c>
      <c r="G50" s="92">
        <v>13</v>
      </c>
      <c r="H50" s="92">
        <v>0</v>
      </c>
      <c r="I50" s="92">
        <v>0</v>
      </c>
      <c r="J50" s="220">
        <v>0</v>
      </c>
      <c r="K50" s="220">
        <v>0</v>
      </c>
      <c r="L50" s="220">
        <f t="shared" si="0"/>
        <v>0</v>
      </c>
    </row>
    <row r="51" spans="1:12" outlineLevel="1">
      <c r="A51" s="227" t="s">
        <v>1583</v>
      </c>
      <c r="B51" s="228"/>
      <c r="C51" s="229"/>
      <c r="D51" s="230"/>
      <c r="E51" s="230"/>
      <c r="F51" s="231"/>
      <c r="G51" s="232">
        <f>SUBTOTAL(9,G50:G50)</f>
        <v>13</v>
      </c>
      <c r="H51" s="232">
        <f>SUBTOTAL(9,H50:H50)</f>
        <v>0</v>
      </c>
      <c r="I51" s="232">
        <f>SUBTOTAL(9,I50:I50)</f>
        <v>0</v>
      </c>
      <c r="J51" s="231">
        <f>H51/G51</f>
        <v>0</v>
      </c>
      <c r="K51" s="231">
        <f>I51/G51</f>
        <v>0</v>
      </c>
      <c r="L51" s="231">
        <f t="shared" si="0"/>
        <v>0</v>
      </c>
    </row>
    <row r="52" spans="1:12" outlineLevel="1">
      <c r="J52" s="220"/>
      <c r="K52" s="220"/>
      <c r="L52" s="220"/>
    </row>
    <row r="53" spans="1:12" outlineLevel="1">
      <c r="A53" s="233" t="s">
        <v>1584</v>
      </c>
      <c r="B53" s="234"/>
      <c r="C53" s="234"/>
      <c r="D53" s="234"/>
      <c r="E53" s="234"/>
      <c r="F53" s="231"/>
      <c r="G53" s="232">
        <f>SUBTOTAL(9,G7:G52)</f>
        <v>286.10000000000002</v>
      </c>
      <c r="H53" s="232">
        <f>SUBTOTAL(9,H7:H52)</f>
        <v>21.4</v>
      </c>
      <c r="I53" s="232">
        <f>SUBTOTAL(9,I7:I52)</f>
        <v>28.095000000000002</v>
      </c>
      <c r="J53" s="231">
        <f>H53/G53</f>
        <v>7.4799021321216352E-2</v>
      </c>
      <c r="K53" s="231">
        <f>I53/G53</f>
        <v>9.8199930094372598E-2</v>
      </c>
      <c r="L53" s="231">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1484</v>
      </c>
      <c r="B1" s="1"/>
      <c r="C1" s="1"/>
      <c r="D1" s="1"/>
      <c r="E1" s="1"/>
      <c r="F1" s="1"/>
      <c r="G1" s="1"/>
      <c r="H1" s="1"/>
    </row>
    <row r="2" spans="1:9" s="65" customFormat="1" ht="78.75" customHeight="1">
      <c r="A2" s="358" t="s">
        <v>1485</v>
      </c>
      <c r="B2" s="358"/>
      <c r="C2" s="358"/>
      <c r="D2" s="358"/>
      <c r="E2" s="358"/>
      <c r="F2" s="358"/>
      <c r="G2" s="358"/>
      <c r="H2" s="358"/>
    </row>
    <row r="3" spans="1:9" s="65" customFormat="1" ht="24.75" customHeight="1">
      <c r="A3" s="359" t="s">
        <v>1486</v>
      </c>
      <c r="B3" s="359"/>
      <c r="D3" s="359" t="s">
        <v>1487</v>
      </c>
      <c r="E3" s="359"/>
      <c r="G3" s="359" t="s">
        <v>1488</v>
      </c>
      <c r="H3" s="359"/>
    </row>
    <row r="4" spans="1:9" s="67" customFormat="1" ht="19.5" customHeight="1">
      <c r="A4" s="66" t="s">
        <v>1489</v>
      </c>
      <c r="B4" s="66" t="s">
        <v>1490</v>
      </c>
      <c r="D4" s="66" t="s">
        <v>1489</v>
      </c>
      <c r="E4" s="66" t="s">
        <v>1490</v>
      </c>
      <c r="G4" s="66" t="s">
        <v>1489</v>
      </c>
      <c r="H4" s="66" t="s">
        <v>1490</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1491</v>
      </c>
      <c r="D305" s="97" t="s">
        <v>1491</v>
      </c>
      <c r="G305" s="97" t="s">
        <v>1491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1349</v>
      </c>
    </row>
    <row r="2" spans="1:6" ht="84">
      <c r="A2" s="87" t="s">
        <v>1338</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1366</v>
      </c>
      <c r="E46" s="90" t="s">
        <v>613</v>
      </c>
      <c r="F46" s="90" t="s">
        <v>613</v>
      </c>
    </row>
    <row r="47" spans="2:6">
      <c r="B47" s="88">
        <v>134</v>
      </c>
      <c r="D47" s="90" t="s">
        <v>1365</v>
      </c>
      <c r="E47" s="90" t="s">
        <v>614</v>
      </c>
      <c r="F47" s="90" t="s">
        <v>614</v>
      </c>
    </row>
    <row r="48" spans="2:6">
      <c r="B48" s="88">
        <v>135</v>
      </c>
      <c r="D48" s="175" t="s">
        <v>1364</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1344</v>
      </c>
      <c r="E97" s="90" t="s">
        <v>1355</v>
      </c>
      <c r="F97" s="90" t="s">
        <v>1355</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1346</v>
      </c>
      <c r="E112" s="90" t="s">
        <v>1356</v>
      </c>
      <c r="F112" s="90" t="s">
        <v>1356</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1396</v>
      </c>
      <c r="E157" s="90" t="s">
        <v>682</v>
      </c>
      <c r="F157" s="90" t="s">
        <v>682</v>
      </c>
    </row>
    <row r="158" spans="2:6">
      <c r="B158" s="88">
        <v>245</v>
      </c>
      <c r="D158" s="90" t="s">
        <v>1397</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1416</v>
      </c>
      <c r="E166" s="90" t="s">
        <v>1361</v>
      </c>
      <c r="F166" s="90" t="s">
        <v>1361</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1350</v>
      </c>
      <c r="E205" s="90" t="s">
        <v>1351</v>
      </c>
      <c r="F205" s="90" t="s">
        <v>1351</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1382</v>
      </c>
      <c r="E215" s="179" t="s">
        <v>1174</v>
      </c>
      <c r="F215" s="179" t="s">
        <v>1174</v>
      </c>
    </row>
    <row r="216" spans="2:6">
      <c r="B216" s="88">
        <v>303</v>
      </c>
      <c r="C216" s="89" t="s">
        <v>1143</v>
      </c>
      <c r="D216" s="179" t="s">
        <v>1182</v>
      </c>
      <c r="E216" s="179" t="s">
        <v>1144</v>
      </c>
      <c r="F216" s="179" t="s">
        <v>1144</v>
      </c>
    </row>
    <row r="217" spans="2:6">
      <c r="B217" s="88">
        <v>304</v>
      </c>
      <c r="C217" s="89" t="s">
        <v>1143</v>
      </c>
      <c r="D217" s="179" t="s">
        <v>1385</v>
      </c>
      <c r="E217" s="179" t="s">
        <v>1153</v>
      </c>
      <c r="F217" s="179" t="s">
        <v>1153</v>
      </c>
    </row>
    <row r="218" spans="2:6">
      <c r="B218" s="88">
        <v>305</v>
      </c>
      <c r="C218" s="89" t="s">
        <v>1143</v>
      </c>
      <c r="D218" s="179" t="s">
        <v>1224</v>
      </c>
      <c r="E218" s="179" t="s">
        <v>1225</v>
      </c>
      <c r="F218" s="179" t="s">
        <v>1225</v>
      </c>
    </row>
    <row r="219" spans="2:6">
      <c r="B219" s="88">
        <v>305</v>
      </c>
      <c r="C219" s="89" t="s">
        <v>1143</v>
      </c>
      <c r="D219" s="179" t="s">
        <v>1383</v>
      </c>
      <c r="E219" s="179" t="s">
        <v>1384</v>
      </c>
      <c r="F219" s="179" t="s">
        <v>1384</v>
      </c>
    </row>
    <row r="220" spans="2:6">
      <c r="B220" s="88">
        <v>306</v>
      </c>
      <c r="C220" s="89" t="s">
        <v>1143</v>
      </c>
      <c r="D220" s="179" t="s">
        <v>1372</v>
      </c>
      <c r="E220" s="179" t="s">
        <v>1373</v>
      </c>
      <c r="F220" s="179" t="s">
        <v>1373</v>
      </c>
    </row>
    <row r="221" spans="2:6">
      <c r="B221" s="88">
        <v>307</v>
      </c>
      <c r="C221" s="89" t="s">
        <v>1143</v>
      </c>
      <c r="D221" s="179" t="s">
        <v>1374</v>
      </c>
      <c r="E221" s="179" t="s">
        <v>1375</v>
      </c>
      <c r="F221" s="179" t="s">
        <v>1375</v>
      </c>
    </row>
    <row r="222" spans="2:6">
      <c r="B222" s="88">
        <v>308</v>
      </c>
      <c r="C222" s="89" t="s">
        <v>1143</v>
      </c>
      <c r="D222" s="179" t="s">
        <v>1376</v>
      </c>
      <c r="E222" s="179" t="s">
        <v>1377</v>
      </c>
      <c r="F222" s="179" t="s">
        <v>1377</v>
      </c>
    </row>
    <row r="223" spans="2:6">
      <c r="B223" s="88">
        <v>309</v>
      </c>
      <c r="C223" s="89" t="s">
        <v>1143</v>
      </c>
      <c r="D223" s="179" t="s">
        <v>1378</v>
      </c>
      <c r="E223" s="179" t="s">
        <v>1379</v>
      </c>
      <c r="F223" s="179" t="s">
        <v>1379</v>
      </c>
    </row>
    <row r="224" spans="2:6">
      <c r="B224" s="88">
        <v>310</v>
      </c>
      <c r="C224" s="89" t="s">
        <v>1143</v>
      </c>
      <c r="D224" s="179" t="s">
        <v>1380</v>
      </c>
      <c r="E224" s="179" t="s">
        <v>1386</v>
      </c>
      <c r="F224" s="179" t="s">
        <v>1386</v>
      </c>
    </row>
    <row r="225" spans="2:6">
      <c r="B225" s="88">
        <v>311</v>
      </c>
      <c r="C225" s="89" t="s">
        <v>1143</v>
      </c>
      <c r="D225" s="179" t="s">
        <v>1381</v>
      </c>
      <c r="E225" s="179" t="s">
        <v>1387</v>
      </c>
      <c r="F225" s="179" t="s">
        <v>1387</v>
      </c>
    </row>
    <row r="226" spans="2:6">
      <c r="B226" s="88">
        <v>312</v>
      </c>
      <c r="C226" s="89" t="s">
        <v>1143</v>
      </c>
      <c r="D226" s="179" t="s">
        <v>1216</v>
      </c>
      <c r="E226" s="179" t="s">
        <v>1388</v>
      </c>
      <c r="F226" s="179" t="s">
        <v>1388</v>
      </c>
    </row>
    <row r="227" spans="2:6">
      <c r="B227" s="88">
        <v>313</v>
      </c>
      <c r="C227" s="89" t="s">
        <v>1143</v>
      </c>
      <c r="D227" s="179" t="s">
        <v>1217</v>
      </c>
      <c r="E227" s="179" t="s">
        <v>1389</v>
      </c>
      <c r="F227" s="179" t="s">
        <v>1389</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1345</v>
      </c>
      <c r="E300" s="90" t="s">
        <v>1357</v>
      </c>
      <c r="F300" s="90" t="s">
        <v>1357</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1354</v>
      </c>
      <c r="E372" s="90" t="s">
        <v>1353</v>
      </c>
      <c r="F372" s="90" t="s">
        <v>1353</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1337</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1362</v>
      </c>
      <c r="E390" s="90" t="s">
        <v>1363</v>
      </c>
      <c r="F390" s="90" t="s">
        <v>1363</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1360</v>
      </c>
      <c r="E396" s="90" t="s">
        <v>1352</v>
      </c>
      <c r="F396" s="90" t="s">
        <v>1352</v>
      </c>
    </row>
    <row r="397" spans="2:6">
      <c r="B397" s="88">
        <v>483</v>
      </c>
      <c r="D397" s="90" t="s">
        <v>1358</v>
      </c>
      <c r="E397" s="90" t="s">
        <v>1347</v>
      </c>
      <c r="F397" s="90" t="s">
        <v>1347</v>
      </c>
    </row>
    <row r="398" spans="2:6">
      <c r="B398" s="88">
        <v>484</v>
      </c>
      <c r="D398" s="90" t="s">
        <v>1359</v>
      </c>
      <c r="E398" s="90" t="s">
        <v>1348</v>
      </c>
      <c r="F398" s="90" t="s">
        <v>1348</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1414</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1341</v>
      </c>
      <c r="E529" s="90" t="s">
        <v>1343</v>
      </c>
      <c r="F529" s="90" t="s">
        <v>1343</v>
      </c>
    </row>
    <row r="530" spans="1:6">
      <c r="B530" s="88">
        <v>616</v>
      </c>
      <c r="D530" s="90" t="s">
        <v>1340</v>
      </c>
      <c r="E530" s="90" t="s">
        <v>1342</v>
      </c>
      <c r="F530" s="90" t="s">
        <v>1342</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1390</v>
      </c>
      <c r="E546" s="90" t="s">
        <v>1391</v>
      </c>
      <c r="F546" s="90" t="s">
        <v>1391</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1407</v>
      </c>
      <c r="E576" s="90" t="s">
        <v>1392</v>
      </c>
      <c r="F576" s="90" t="s">
        <v>1392</v>
      </c>
    </row>
    <row r="577" spans="2:6">
      <c r="B577" s="88">
        <v>663</v>
      </c>
      <c r="D577" s="90" t="s">
        <v>1408</v>
      </c>
      <c r="E577" s="90" t="s">
        <v>1393</v>
      </c>
      <c r="F577" s="90" t="s">
        <v>1393</v>
      </c>
    </row>
    <row r="578" spans="2:6">
      <c r="B578" s="88">
        <v>664</v>
      </c>
      <c r="D578" s="90" t="s">
        <v>1394</v>
      </c>
      <c r="E578" s="90" t="s">
        <v>1395</v>
      </c>
      <c r="F578" s="90" t="s">
        <v>1395</v>
      </c>
    </row>
    <row r="579" spans="2:6">
      <c r="B579" s="88">
        <v>665</v>
      </c>
      <c r="D579" s="90" t="s">
        <v>1404</v>
      </c>
      <c r="E579" s="90" t="s">
        <v>1405</v>
      </c>
      <c r="F579" s="90" t="s">
        <v>1405</v>
      </c>
    </row>
    <row r="580" spans="2:6">
      <c r="B580" s="88">
        <v>666</v>
      </c>
      <c r="D580" s="90" t="s">
        <v>1398</v>
      </c>
      <c r="E580" s="90" t="s">
        <v>1401</v>
      </c>
      <c r="F580" s="90" t="s">
        <v>1401</v>
      </c>
    </row>
    <row r="581" spans="2:6">
      <c r="B581" s="88">
        <v>667</v>
      </c>
      <c r="D581" s="90" t="s">
        <v>1399</v>
      </c>
      <c r="E581" s="90" t="s">
        <v>1402</v>
      </c>
      <c r="F581" s="90" t="s">
        <v>1402</v>
      </c>
    </row>
    <row r="582" spans="2:6">
      <c r="B582" s="88">
        <v>667</v>
      </c>
      <c r="D582" s="90" t="s">
        <v>1400</v>
      </c>
      <c r="E582" s="90" t="s">
        <v>1403</v>
      </c>
      <c r="F582" s="90" t="s">
        <v>1403</v>
      </c>
    </row>
    <row r="583" spans="2:6">
      <c r="B583" s="88">
        <v>667</v>
      </c>
      <c r="D583" s="90" t="s">
        <v>1412</v>
      </c>
      <c r="E583" s="90" t="s">
        <v>1411</v>
      </c>
      <c r="F583" s="90" t="s">
        <v>1411</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1492</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1492</v>
      </c>
      <c r="N3" s="131" t="s">
        <v>1335</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1493</v>
      </c>
      <c r="C4" s="131" t="s">
        <v>1023</v>
      </c>
      <c r="D4" s="131" t="s">
        <v>1097</v>
      </c>
      <c r="E4" s="131" t="s">
        <v>1099</v>
      </c>
      <c r="F4" s="131" t="s">
        <v>1493</v>
      </c>
      <c r="M4" s="131" t="s">
        <v>1494</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1493</v>
      </c>
      <c r="C5" s="131" t="s">
        <v>1023</v>
      </c>
      <c r="D5" s="131" t="s">
        <v>1097</v>
      </c>
      <c r="E5" s="131" t="s">
        <v>1099</v>
      </c>
      <c r="F5" s="131" t="s">
        <v>1493</v>
      </c>
      <c r="M5" s="131" t="s">
        <v>1494</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1493</v>
      </c>
      <c r="C6" s="131" t="s">
        <v>1023</v>
      </c>
      <c r="D6" s="131" t="s">
        <v>1097</v>
      </c>
      <c r="E6" s="131" t="s">
        <v>1099</v>
      </c>
      <c r="F6" s="131" t="s">
        <v>1493</v>
      </c>
      <c r="M6" s="131" t="s">
        <v>1494</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1495</v>
      </c>
      <c r="C7" s="131" t="s">
        <v>1023</v>
      </c>
      <c r="D7" s="131" t="s">
        <v>1097</v>
      </c>
      <c r="E7" s="131" t="s">
        <v>1099</v>
      </c>
      <c r="F7" s="131" t="s">
        <v>1495</v>
      </c>
      <c r="M7" s="131" t="s">
        <v>1496</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1497</v>
      </c>
      <c r="N8" s="131" t="s">
        <v>1568</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1497</v>
      </c>
      <c r="N9" s="131" t="s">
        <v>1568</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1497</v>
      </c>
      <c r="N10" s="131" t="s">
        <v>1568</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1497</v>
      </c>
      <c r="N11" s="131" t="s">
        <v>1568</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1497</v>
      </c>
      <c r="N12" s="131" t="s">
        <v>1568</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1498</v>
      </c>
      <c r="N13" s="131" t="s">
        <v>1568</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1499</v>
      </c>
      <c r="C14" s="131" t="s">
        <v>1023</v>
      </c>
      <c r="D14" s="131" t="s">
        <v>1100</v>
      </c>
      <c r="E14" s="131" t="s">
        <v>1499</v>
      </c>
      <c r="M14" s="131" t="s">
        <v>1500</v>
      </c>
      <c r="N14" s="131" t="s">
        <v>1568</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1499</v>
      </c>
      <c r="C15" s="131" t="s">
        <v>1023</v>
      </c>
      <c r="D15" s="131" t="s">
        <v>1100</v>
      </c>
      <c r="E15" s="131" t="s">
        <v>1499</v>
      </c>
      <c r="M15" s="131" t="s">
        <v>1500</v>
      </c>
      <c r="N15" s="131" t="s">
        <v>1568</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1499</v>
      </c>
      <c r="C16" s="131" t="s">
        <v>1023</v>
      </c>
      <c r="D16" s="131" t="s">
        <v>1100</v>
      </c>
      <c r="E16" s="131" t="s">
        <v>1499</v>
      </c>
      <c r="M16" s="131" t="s">
        <v>1500</v>
      </c>
      <c r="N16" s="131" t="s">
        <v>1568</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1499</v>
      </c>
      <c r="C17" s="131" t="s">
        <v>1023</v>
      </c>
      <c r="D17" s="131" t="s">
        <v>1100</v>
      </c>
      <c r="E17" s="131" t="s">
        <v>1499</v>
      </c>
      <c r="M17" s="131" t="s">
        <v>1500</v>
      </c>
      <c r="N17" s="131" t="s">
        <v>1568</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1499</v>
      </c>
      <c r="C18" s="131" t="s">
        <v>1023</v>
      </c>
      <c r="D18" s="131" t="s">
        <v>1100</v>
      </c>
      <c r="E18" s="131" t="s">
        <v>1499</v>
      </c>
      <c r="M18" s="131" t="s">
        <v>1500</v>
      </c>
      <c r="N18" s="131" t="s">
        <v>1568</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1501</v>
      </c>
      <c r="C19" s="131" t="s">
        <v>1023</v>
      </c>
      <c r="D19" s="131" t="s">
        <v>1100</v>
      </c>
      <c r="E19" s="131" t="s">
        <v>1501</v>
      </c>
      <c r="M19" s="131" t="s">
        <v>1502</v>
      </c>
      <c r="N19" s="131" t="s">
        <v>1483</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1503</v>
      </c>
      <c r="N20" s="131" t="s">
        <v>1335</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1503</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1503</v>
      </c>
      <c r="N22" s="131" t="s">
        <v>1335</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1503</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1504</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1504</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1504</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1504</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1505</v>
      </c>
      <c r="C28" s="131" t="s">
        <v>1023</v>
      </c>
      <c r="D28" s="131" t="s">
        <v>1102</v>
      </c>
      <c r="E28" s="131" t="s">
        <v>1505</v>
      </c>
      <c r="M28" s="131" t="s">
        <v>1506</v>
      </c>
      <c r="N28" s="131" t="s">
        <v>1369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1505</v>
      </c>
      <c r="C29" s="131" t="s">
        <v>1023</v>
      </c>
      <c r="D29" s="131" t="s">
        <v>1102</v>
      </c>
      <c r="E29" s="131" t="s">
        <v>1505</v>
      </c>
      <c r="M29" s="131" t="s">
        <v>1506</v>
      </c>
      <c r="N29" s="131" t="s">
        <v>1370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1507</v>
      </c>
      <c r="C30" s="131" t="s">
        <v>1023</v>
      </c>
      <c r="D30" s="131" t="s">
        <v>1102</v>
      </c>
      <c r="E30" s="131" t="s">
        <v>1507</v>
      </c>
      <c r="M30" s="131" t="s">
        <v>1508</v>
      </c>
      <c r="N30" s="131" t="s">
        <v>1483</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1509</v>
      </c>
      <c r="C31" s="131" t="s">
        <v>1087</v>
      </c>
      <c r="D31" s="131" t="s">
        <v>1561</v>
      </c>
      <c r="E31" s="131" t="s">
        <v>1509</v>
      </c>
      <c r="M31" s="131" t="s">
        <v>1510</v>
      </c>
      <c r="N31" s="131" t="s">
        <v>1483</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1509</v>
      </c>
      <c r="C32" s="131" t="s">
        <v>1087</v>
      </c>
      <c r="D32" s="131" t="s">
        <v>1561</v>
      </c>
      <c r="E32" s="131" t="s">
        <v>1509</v>
      </c>
      <c r="M32" s="131" t="s">
        <v>1510</v>
      </c>
      <c r="N32" s="131" t="s">
        <v>1483</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1509</v>
      </c>
      <c r="C33" s="131" t="s">
        <v>1087</v>
      </c>
      <c r="D33" s="131" t="s">
        <v>1561</v>
      </c>
      <c r="E33" s="131" t="s">
        <v>1509</v>
      </c>
      <c r="M33" s="131" t="s">
        <v>1510</v>
      </c>
      <c r="N33" s="131" t="s">
        <v>1483</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1509</v>
      </c>
      <c r="C34" s="131" t="s">
        <v>1087</v>
      </c>
      <c r="D34" s="131" t="s">
        <v>1561</v>
      </c>
      <c r="E34" s="131" t="s">
        <v>1509</v>
      </c>
      <c r="M34" s="131" t="s">
        <v>1510</v>
      </c>
      <c r="N34" s="131" t="s">
        <v>1483</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1512</v>
      </c>
      <c r="C35" s="131" t="s">
        <v>1087</v>
      </c>
      <c r="D35" s="131" t="s">
        <v>1561</v>
      </c>
      <c r="E35" s="131" t="s">
        <v>1511</v>
      </c>
      <c r="F35" s="131" t="s">
        <v>1512</v>
      </c>
      <c r="M35" s="131" t="s">
        <v>1513</v>
      </c>
      <c r="N35" s="131" t="s">
        <v>1483</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1512</v>
      </c>
      <c r="C36" s="131" t="s">
        <v>1087</v>
      </c>
      <c r="D36" s="131" t="s">
        <v>1561</v>
      </c>
      <c r="E36" s="131" t="s">
        <v>1511</v>
      </c>
      <c r="F36" s="131" t="s">
        <v>1512</v>
      </c>
      <c r="M36" s="131" t="s">
        <v>1513</v>
      </c>
      <c r="N36" s="131" t="s">
        <v>1483</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1512</v>
      </c>
      <c r="C37" s="131" t="s">
        <v>1087</v>
      </c>
      <c r="D37" s="131" t="s">
        <v>1561</v>
      </c>
      <c r="E37" s="131" t="s">
        <v>1511</v>
      </c>
      <c r="F37" s="131" t="s">
        <v>1512</v>
      </c>
      <c r="M37" s="131" t="s">
        <v>1513</v>
      </c>
      <c r="N37" s="131" t="s">
        <v>1483</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1512</v>
      </c>
      <c r="C38" s="131" t="s">
        <v>1087</v>
      </c>
      <c r="D38" s="131" t="s">
        <v>1561</v>
      </c>
      <c r="E38" s="131" t="s">
        <v>1511</v>
      </c>
      <c r="F38" s="131" t="s">
        <v>1512</v>
      </c>
      <c r="M38" s="131" t="s">
        <v>1513</v>
      </c>
      <c r="N38" s="131" t="s">
        <v>1483</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1514</v>
      </c>
      <c r="C39" s="131" t="s">
        <v>1087</v>
      </c>
      <c r="D39" s="131" t="s">
        <v>1561</v>
      </c>
      <c r="E39" s="131" t="s">
        <v>1511</v>
      </c>
      <c r="F39" s="131" t="s">
        <v>1514</v>
      </c>
      <c r="M39" s="131" t="s">
        <v>1515</v>
      </c>
      <c r="N39" s="131" t="s">
        <v>1336</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1514</v>
      </c>
      <c r="C40" s="131" t="s">
        <v>1087</v>
      </c>
      <c r="D40" s="131" t="s">
        <v>1561</v>
      </c>
      <c r="E40" s="131" t="s">
        <v>1511</v>
      </c>
      <c r="F40" s="131" t="s">
        <v>1514</v>
      </c>
      <c r="M40" s="131" t="s">
        <v>1515</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1514</v>
      </c>
      <c r="C41" s="131" t="s">
        <v>1087</v>
      </c>
      <c r="D41" s="131" t="s">
        <v>1561</v>
      </c>
      <c r="E41" s="131" t="s">
        <v>1511</v>
      </c>
      <c r="F41" s="131" t="s">
        <v>1514</v>
      </c>
      <c r="M41" s="131" t="s">
        <v>1515</v>
      </c>
      <c r="N41" s="131" t="s">
        <v>1336</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1514</v>
      </c>
      <c r="C42" s="131" t="s">
        <v>1087</v>
      </c>
      <c r="D42" s="131" t="s">
        <v>1561</v>
      </c>
      <c r="E42" s="131" t="s">
        <v>1511</v>
      </c>
      <c r="F42" s="131" t="s">
        <v>1514</v>
      </c>
      <c r="M42" s="131" t="s">
        <v>1515</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1514</v>
      </c>
      <c r="C43" s="131" t="s">
        <v>1087</v>
      </c>
      <c r="D43" s="131" t="s">
        <v>1561</v>
      </c>
      <c r="E43" s="131" t="s">
        <v>1511</v>
      </c>
      <c r="F43" s="131" t="s">
        <v>1514</v>
      </c>
      <c r="M43" s="131" t="s">
        <v>1515</v>
      </c>
      <c r="N43" s="131" t="s">
        <v>1336</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1514</v>
      </c>
      <c r="C44" s="131" t="s">
        <v>1087</v>
      </c>
      <c r="D44" s="131" t="s">
        <v>1561</v>
      </c>
      <c r="E44" s="131" t="s">
        <v>1511</v>
      </c>
      <c r="F44" s="131" t="s">
        <v>1514</v>
      </c>
      <c r="M44" s="131" t="s">
        <v>1515</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1514</v>
      </c>
      <c r="C45" s="131" t="s">
        <v>1087</v>
      </c>
      <c r="D45" s="131" t="s">
        <v>1561</v>
      </c>
      <c r="E45" s="131" t="s">
        <v>1511</v>
      </c>
      <c r="F45" s="131" t="s">
        <v>1514</v>
      </c>
      <c r="M45" s="131" t="s">
        <v>1515</v>
      </c>
      <c r="N45" s="131" t="s">
        <v>1336</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1514</v>
      </c>
      <c r="C46" s="131" t="s">
        <v>1087</v>
      </c>
      <c r="D46" s="131" t="s">
        <v>1561</v>
      </c>
      <c r="E46" s="131" t="s">
        <v>1511</v>
      </c>
      <c r="F46" s="131" t="s">
        <v>1514</v>
      </c>
      <c r="M46" s="131" t="s">
        <v>1515</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1516</v>
      </c>
      <c r="C47" s="131" t="s">
        <v>1087</v>
      </c>
      <c r="D47" s="131" t="s">
        <v>1562</v>
      </c>
      <c r="E47" s="131" t="s">
        <v>1516</v>
      </c>
      <c r="M47" s="131" t="s">
        <v>1517</v>
      </c>
      <c r="N47" s="131" t="s">
        <v>1483</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1516</v>
      </c>
      <c r="C48" s="131" t="s">
        <v>1087</v>
      </c>
      <c r="D48" s="131" t="s">
        <v>1562</v>
      </c>
      <c r="E48" s="131" t="s">
        <v>1516</v>
      </c>
      <c r="M48" s="131" t="s">
        <v>1517</v>
      </c>
      <c r="N48" s="131" t="s">
        <v>1483</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1516</v>
      </c>
      <c r="C49" s="131" t="s">
        <v>1087</v>
      </c>
      <c r="D49" s="131" t="s">
        <v>1562</v>
      </c>
      <c r="E49" s="131" t="s">
        <v>1516</v>
      </c>
      <c r="M49" s="131" t="s">
        <v>1517</v>
      </c>
      <c r="N49" s="131" t="s">
        <v>1483</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1519</v>
      </c>
      <c r="C50" s="131" t="s">
        <v>1087</v>
      </c>
      <c r="D50" s="131" t="s">
        <v>1562</v>
      </c>
      <c r="E50" s="131" t="s">
        <v>1518</v>
      </c>
      <c r="F50" s="131" t="s">
        <v>1519</v>
      </c>
      <c r="M50" s="131" t="s">
        <v>1520</v>
      </c>
      <c r="N50" s="131" t="s">
        <v>1483</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1519</v>
      </c>
      <c r="C51" s="131" t="s">
        <v>1087</v>
      </c>
      <c r="D51" s="131" t="s">
        <v>1562</v>
      </c>
      <c r="E51" s="131" t="s">
        <v>1518</v>
      </c>
      <c r="F51" s="131" t="s">
        <v>1519</v>
      </c>
      <c r="M51" s="131" t="s">
        <v>1520</v>
      </c>
      <c r="N51" s="131" t="s">
        <v>1483</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1521</v>
      </c>
      <c r="C52" s="131" t="s">
        <v>1087</v>
      </c>
      <c r="D52" s="131" t="s">
        <v>1562</v>
      </c>
      <c r="E52" s="131" t="s">
        <v>1518</v>
      </c>
      <c r="F52" s="131" t="s">
        <v>1521</v>
      </c>
      <c r="M52" s="131" t="s">
        <v>1522</v>
      </c>
      <c r="N52" s="131" t="s">
        <v>1483</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1521</v>
      </c>
      <c r="C53" s="131" t="s">
        <v>1087</v>
      </c>
      <c r="D53" s="131" t="s">
        <v>1562</v>
      </c>
      <c r="E53" s="131" t="s">
        <v>1518</v>
      </c>
      <c r="F53" s="131" t="s">
        <v>1521</v>
      </c>
      <c r="M53" s="131" t="s">
        <v>1522</v>
      </c>
      <c r="N53" s="131" t="s">
        <v>1483</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1523</v>
      </c>
      <c r="C54" s="131" t="s">
        <v>1087</v>
      </c>
      <c r="D54" s="131" t="s">
        <v>1562</v>
      </c>
      <c r="E54" s="131" t="s">
        <v>1518</v>
      </c>
      <c r="F54" s="131" t="s">
        <v>1523</v>
      </c>
      <c r="M54" s="131" t="s">
        <v>1524</v>
      </c>
      <c r="N54" s="131" t="s">
        <v>1483</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1523</v>
      </c>
      <c r="C55" s="131" t="s">
        <v>1087</v>
      </c>
      <c r="D55" s="131" t="s">
        <v>1562</v>
      </c>
      <c r="E55" s="131" t="s">
        <v>1518</v>
      </c>
      <c r="F55" s="131" t="s">
        <v>1523</v>
      </c>
      <c r="M55" s="131" t="s">
        <v>1524</v>
      </c>
      <c r="N55" s="131" t="s">
        <v>1483</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1523</v>
      </c>
      <c r="C56" s="131" t="s">
        <v>1087</v>
      </c>
      <c r="D56" s="131" t="s">
        <v>1562</v>
      </c>
      <c r="E56" s="131" t="s">
        <v>1518</v>
      </c>
      <c r="F56" s="131" t="s">
        <v>1523</v>
      </c>
      <c r="M56" s="131" t="s">
        <v>1524</v>
      </c>
      <c r="N56" s="131" t="s">
        <v>1483</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1525</v>
      </c>
      <c r="C57" s="131" t="s">
        <v>1087</v>
      </c>
      <c r="D57" s="131" t="s">
        <v>1562</v>
      </c>
      <c r="E57" s="131" t="s">
        <v>1525</v>
      </c>
      <c r="M57" s="131" t="s">
        <v>1526</v>
      </c>
      <c r="N57" s="131" t="s">
        <v>1483</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1528</v>
      </c>
      <c r="C58" s="131" t="s">
        <v>1087</v>
      </c>
      <c r="D58" s="131" t="s">
        <v>1563</v>
      </c>
      <c r="E58" s="131" t="s">
        <v>1527</v>
      </c>
      <c r="F58" s="131" t="s">
        <v>1528</v>
      </c>
      <c r="M58" s="131" t="s">
        <v>1529</v>
      </c>
      <c r="N58" s="131" t="s">
        <v>1483</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1532</v>
      </c>
      <c r="C59" s="131" t="s">
        <v>1087</v>
      </c>
      <c r="D59" s="131" t="s">
        <v>1563</v>
      </c>
      <c r="E59" s="131" t="s">
        <v>1527</v>
      </c>
      <c r="F59" s="131" t="s">
        <v>1530</v>
      </c>
      <c r="G59" s="131" t="s">
        <v>1531</v>
      </c>
      <c r="H59" s="131" t="s">
        <v>1532</v>
      </c>
      <c r="M59" s="131" t="s">
        <v>1533</v>
      </c>
      <c r="N59" s="131" t="s">
        <v>1483</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1534</v>
      </c>
      <c r="C60" s="131" t="s">
        <v>1087</v>
      </c>
      <c r="D60" s="131" t="s">
        <v>1563</v>
      </c>
      <c r="E60" s="131" t="s">
        <v>1527</v>
      </c>
      <c r="F60" s="131" t="s">
        <v>1530</v>
      </c>
      <c r="G60" s="131" t="s">
        <v>1531</v>
      </c>
      <c r="H60" s="131" t="s">
        <v>1534</v>
      </c>
      <c r="M60" s="131" t="s">
        <v>1535</v>
      </c>
      <c r="N60" s="131" t="s">
        <v>1483</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1536</v>
      </c>
      <c r="C61" s="131" t="s">
        <v>1087</v>
      </c>
      <c r="D61" s="131" t="s">
        <v>1563</v>
      </c>
      <c r="E61" s="131" t="s">
        <v>1527</v>
      </c>
      <c r="F61" s="131" t="s">
        <v>1530</v>
      </c>
      <c r="G61" s="131" t="s">
        <v>1531</v>
      </c>
      <c r="H61" s="131" t="s">
        <v>1536</v>
      </c>
      <c r="M61" s="131" t="s">
        <v>1537</v>
      </c>
      <c r="N61" s="131" t="s">
        <v>1483</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1536</v>
      </c>
      <c r="C62" s="131" t="s">
        <v>1087</v>
      </c>
      <c r="D62" s="131" t="s">
        <v>1563</v>
      </c>
      <c r="E62" s="131" t="s">
        <v>1527</v>
      </c>
      <c r="F62" s="131" t="s">
        <v>1530</v>
      </c>
      <c r="G62" s="131" t="s">
        <v>1531</v>
      </c>
      <c r="H62" s="131" t="s">
        <v>1536</v>
      </c>
      <c r="M62" s="131" t="s">
        <v>1537</v>
      </c>
      <c r="N62" s="131" t="s">
        <v>1483</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1538</v>
      </c>
      <c r="C63" s="131" t="s">
        <v>1087</v>
      </c>
      <c r="D63" s="131" t="s">
        <v>1563</v>
      </c>
      <c r="E63" s="131" t="s">
        <v>1527</v>
      </c>
      <c r="F63" s="131" t="s">
        <v>1530</v>
      </c>
      <c r="G63" s="131" t="s">
        <v>1538</v>
      </c>
      <c r="M63" s="131" t="s">
        <v>1539</v>
      </c>
      <c r="N63" s="131" t="s">
        <v>1483</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1538</v>
      </c>
      <c r="C64" s="131" t="s">
        <v>1087</v>
      </c>
      <c r="D64" s="131" t="s">
        <v>1563</v>
      </c>
      <c r="E64" s="131" t="s">
        <v>1527</v>
      </c>
      <c r="F64" s="131" t="s">
        <v>1530</v>
      </c>
      <c r="G64" s="131" t="s">
        <v>1538</v>
      </c>
      <c r="M64" s="131" t="s">
        <v>1539</v>
      </c>
      <c r="N64" s="131" t="s">
        <v>1483</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1538</v>
      </c>
      <c r="C65" s="131" t="s">
        <v>1087</v>
      </c>
      <c r="D65" s="131" t="s">
        <v>1563</v>
      </c>
      <c r="E65" s="131" t="s">
        <v>1527</v>
      </c>
      <c r="F65" s="131" t="s">
        <v>1530</v>
      </c>
      <c r="G65" s="131" t="s">
        <v>1538</v>
      </c>
      <c r="M65" s="131" t="s">
        <v>1539</v>
      </c>
      <c r="N65" s="131" t="s">
        <v>1483</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1538</v>
      </c>
      <c r="C66" s="131" t="s">
        <v>1087</v>
      </c>
      <c r="D66" s="131" t="s">
        <v>1563</v>
      </c>
      <c r="E66" s="131" t="s">
        <v>1527</v>
      </c>
      <c r="F66" s="131" t="s">
        <v>1530</v>
      </c>
      <c r="G66" s="131" t="s">
        <v>1538</v>
      </c>
      <c r="M66" s="131" t="s">
        <v>1539</v>
      </c>
      <c r="N66" s="131" t="s">
        <v>1483</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1538</v>
      </c>
      <c r="C67" s="131" t="s">
        <v>1087</v>
      </c>
      <c r="D67" s="131" t="s">
        <v>1563</v>
      </c>
      <c r="E67" s="131" t="s">
        <v>1527</v>
      </c>
      <c r="F67" s="131" t="s">
        <v>1530</v>
      </c>
      <c r="G67" s="131" t="s">
        <v>1538</v>
      </c>
      <c r="M67" s="131" t="s">
        <v>1539</v>
      </c>
      <c r="N67" s="131" t="s">
        <v>1483</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1538</v>
      </c>
      <c r="C68" s="131" t="s">
        <v>1087</v>
      </c>
      <c r="D68" s="131" t="s">
        <v>1563</v>
      </c>
      <c r="E68" s="131" t="s">
        <v>1527</v>
      </c>
      <c r="F68" s="131" t="s">
        <v>1530</v>
      </c>
      <c r="G68" s="131" t="s">
        <v>1538</v>
      </c>
      <c r="M68" s="131" t="s">
        <v>1539</v>
      </c>
      <c r="N68" s="131" t="s">
        <v>1483</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1538</v>
      </c>
      <c r="C69" s="131" t="s">
        <v>1087</v>
      </c>
      <c r="D69" s="131" t="s">
        <v>1563</v>
      </c>
      <c r="E69" s="131" t="s">
        <v>1527</v>
      </c>
      <c r="F69" s="131" t="s">
        <v>1530</v>
      </c>
      <c r="G69" s="131" t="s">
        <v>1538</v>
      </c>
      <c r="M69" s="131" t="s">
        <v>1539</v>
      </c>
      <c r="N69" s="131" t="s">
        <v>1483</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1538</v>
      </c>
      <c r="C70" s="131" t="s">
        <v>1087</v>
      </c>
      <c r="D70" s="131" t="s">
        <v>1563</v>
      </c>
      <c r="E70" s="131" t="s">
        <v>1527</v>
      </c>
      <c r="F70" s="131" t="s">
        <v>1530</v>
      </c>
      <c r="G70" s="131" t="s">
        <v>1538</v>
      </c>
      <c r="M70" s="131" t="s">
        <v>1539</v>
      </c>
      <c r="N70" s="131" t="s">
        <v>1483</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1538</v>
      </c>
      <c r="C71" s="131" t="s">
        <v>1087</v>
      </c>
      <c r="D71" s="131" t="s">
        <v>1563</v>
      </c>
      <c r="E71" s="131" t="s">
        <v>1527</v>
      </c>
      <c r="F71" s="131" t="s">
        <v>1530</v>
      </c>
      <c r="G71" s="131" t="s">
        <v>1538</v>
      </c>
      <c r="M71" s="131" t="s">
        <v>1539</v>
      </c>
      <c r="N71" s="131" t="s">
        <v>1483</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1540</v>
      </c>
      <c r="C72" s="131" t="s">
        <v>1087</v>
      </c>
      <c r="D72" s="131" t="s">
        <v>1563</v>
      </c>
      <c r="E72" s="131" t="s">
        <v>1527</v>
      </c>
      <c r="F72" s="131" t="s">
        <v>1530</v>
      </c>
      <c r="G72" s="131" t="s">
        <v>1540</v>
      </c>
      <c r="M72" s="131" t="s">
        <v>1541</v>
      </c>
      <c r="N72" s="131" t="s">
        <v>1483</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1540</v>
      </c>
      <c r="C73" s="131" t="s">
        <v>1087</v>
      </c>
      <c r="D73" s="131" t="s">
        <v>1563</v>
      </c>
      <c r="E73" s="131" t="s">
        <v>1527</v>
      </c>
      <c r="F73" s="131" t="s">
        <v>1530</v>
      </c>
      <c r="G73" s="131" t="s">
        <v>1540</v>
      </c>
      <c r="M73" s="131" t="s">
        <v>1541</v>
      </c>
      <c r="N73" s="131" t="s">
        <v>1483</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1540</v>
      </c>
      <c r="C74" s="131" t="s">
        <v>1087</v>
      </c>
      <c r="D74" s="131" t="s">
        <v>1563</v>
      </c>
      <c r="E74" s="131" t="s">
        <v>1527</v>
      </c>
      <c r="F74" s="131" t="s">
        <v>1530</v>
      </c>
      <c r="G74" s="131" t="s">
        <v>1540</v>
      </c>
      <c r="M74" s="131" t="s">
        <v>1541</v>
      </c>
      <c r="N74" s="131" t="s">
        <v>1483</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1540</v>
      </c>
      <c r="C75" s="131" t="s">
        <v>1087</v>
      </c>
      <c r="D75" s="131" t="s">
        <v>1563</v>
      </c>
      <c r="E75" s="131" t="s">
        <v>1527</v>
      </c>
      <c r="F75" s="131" t="s">
        <v>1530</v>
      </c>
      <c r="G75" s="131" t="s">
        <v>1540</v>
      </c>
      <c r="M75" s="131" t="s">
        <v>1541</v>
      </c>
      <c r="N75" s="131" t="s">
        <v>1483</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1540</v>
      </c>
      <c r="C76" s="131" t="s">
        <v>1087</v>
      </c>
      <c r="D76" s="131" t="s">
        <v>1563</v>
      </c>
      <c r="E76" s="131" t="s">
        <v>1527</v>
      </c>
      <c r="F76" s="131" t="s">
        <v>1530</v>
      </c>
      <c r="G76" s="131" t="s">
        <v>1540</v>
      </c>
      <c r="M76" s="131" t="s">
        <v>1541</v>
      </c>
      <c r="N76" s="131" t="s">
        <v>1483</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1540</v>
      </c>
      <c r="C77" s="131" t="s">
        <v>1087</v>
      </c>
      <c r="D77" s="131" t="s">
        <v>1563</v>
      </c>
      <c r="E77" s="131" t="s">
        <v>1527</v>
      </c>
      <c r="F77" s="131" t="s">
        <v>1530</v>
      </c>
      <c r="G77" s="131" t="s">
        <v>1540</v>
      </c>
      <c r="M77" s="131" t="s">
        <v>1541</v>
      </c>
      <c r="N77" s="131" t="s">
        <v>1483</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1540</v>
      </c>
      <c r="C78" s="131" t="s">
        <v>1087</v>
      </c>
      <c r="D78" s="131" t="s">
        <v>1563</v>
      </c>
      <c r="E78" s="131" t="s">
        <v>1527</v>
      </c>
      <c r="F78" s="131" t="s">
        <v>1530</v>
      </c>
      <c r="G78" s="131" t="s">
        <v>1540</v>
      </c>
      <c r="M78" s="131" t="s">
        <v>1541</v>
      </c>
      <c r="N78" s="131" t="s">
        <v>1483</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1540</v>
      </c>
      <c r="C79" s="131" t="s">
        <v>1087</v>
      </c>
      <c r="D79" s="131" t="s">
        <v>1563</v>
      </c>
      <c r="E79" s="131" t="s">
        <v>1527</v>
      </c>
      <c r="F79" s="131" t="s">
        <v>1530</v>
      </c>
      <c r="G79" s="131" t="s">
        <v>1540</v>
      </c>
      <c r="M79" s="131" t="s">
        <v>1541</v>
      </c>
      <c r="N79" s="131" t="s">
        <v>1483</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1540</v>
      </c>
      <c r="C80" s="131" t="s">
        <v>1087</v>
      </c>
      <c r="D80" s="131" t="s">
        <v>1563</v>
      </c>
      <c r="E80" s="131" t="s">
        <v>1527</v>
      </c>
      <c r="F80" s="131" t="s">
        <v>1530</v>
      </c>
      <c r="G80" s="131" t="s">
        <v>1540</v>
      </c>
      <c r="M80" s="131" t="s">
        <v>1541</v>
      </c>
      <c r="N80" s="131" t="s">
        <v>1483</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1542</v>
      </c>
      <c r="C81" s="131" t="s">
        <v>1087</v>
      </c>
      <c r="D81" s="131" t="s">
        <v>1563</v>
      </c>
      <c r="E81" s="131" t="s">
        <v>1527</v>
      </c>
      <c r="F81" s="131" t="s">
        <v>1530</v>
      </c>
      <c r="G81" s="131" t="s">
        <v>1542</v>
      </c>
      <c r="M81" s="131" t="s">
        <v>1543</v>
      </c>
      <c r="N81" s="131" t="s">
        <v>1483</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1542</v>
      </c>
      <c r="C82" s="131" t="s">
        <v>1087</v>
      </c>
      <c r="D82" s="131" t="s">
        <v>1563</v>
      </c>
      <c r="E82" s="131" t="s">
        <v>1527</v>
      </c>
      <c r="F82" s="131" t="s">
        <v>1530</v>
      </c>
      <c r="G82" s="131" t="s">
        <v>1542</v>
      </c>
      <c r="M82" s="131" t="s">
        <v>1543</v>
      </c>
      <c r="N82" s="131" t="s">
        <v>1483</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1542</v>
      </c>
      <c r="C83" s="131" t="s">
        <v>1087</v>
      </c>
      <c r="D83" s="131" t="s">
        <v>1563</v>
      </c>
      <c r="E83" s="131" t="s">
        <v>1527</v>
      </c>
      <c r="F83" s="131" t="s">
        <v>1530</v>
      </c>
      <c r="G83" s="131" t="s">
        <v>1542</v>
      </c>
      <c r="M83" s="131" t="s">
        <v>1543</v>
      </c>
      <c r="N83" s="131" t="s">
        <v>1483</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1542</v>
      </c>
      <c r="C84" s="131" t="s">
        <v>1087</v>
      </c>
      <c r="D84" s="131" t="s">
        <v>1563</v>
      </c>
      <c r="E84" s="131" t="s">
        <v>1527</v>
      </c>
      <c r="F84" s="131" t="s">
        <v>1530</v>
      </c>
      <c r="G84" s="131" t="s">
        <v>1542</v>
      </c>
      <c r="M84" s="131" t="s">
        <v>1543</v>
      </c>
      <c r="N84" s="131" t="s">
        <v>1483</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1542</v>
      </c>
      <c r="C85" s="131" t="s">
        <v>1087</v>
      </c>
      <c r="D85" s="131" t="s">
        <v>1563</v>
      </c>
      <c r="E85" s="131" t="s">
        <v>1527</v>
      </c>
      <c r="F85" s="131" t="s">
        <v>1530</v>
      </c>
      <c r="G85" s="131" t="s">
        <v>1542</v>
      </c>
      <c r="M85" s="131" t="s">
        <v>1543</v>
      </c>
      <c r="N85" s="131" t="s">
        <v>1483</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1542</v>
      </c>
      <c r="C86" s="131" t="s">
        <v>1087</v>
      </c>
      <c r="D86" s="131" t="s">
        <v>1563</v>
      </c>
      <c r="E86" s="131" t="s">
        <v>1527</v>
      </c>
      <c r="F86" s="131" t="s">
        <v>1530</v>
      </c>
      <c r="G86" s="131" t="s">
        <v>1542</v>
      </c>
      <c r="M86" s="131" t="s">
        <v>1543</v>
      </c>
      <c r="N86" s="131" t="s">
        <v>1483</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1542</v>
      </c>
      <c r="C87" s="131" t="s">
        <v>1087</v>
      </c>
      <c r="D87" s="131" t="s">
        <v>1563</v>
      </c>
      <c r="E87" s="131" t="s">
        <v>1527</v>
      </c>
      <c r="F87" s="131" t="s">
        <v>1530</v>
      </c>
      <c r="G87" s="131" t="s">
        <v>1542</v>
      </c>
      <c r="M87" s="131" t="s">
        <v>1543</v>
      </c>
      <c r="N87" s="131" t="s">
        <v>1483</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1545</v>
      </c>
      <c r="C88" s="131" t="s">
        <v>1087</v>
      </c>
      <c r="D88" s="131" t="s">
        <v>1563</v>
      </c>
      <c r="E88" s="131" t="s">
        <v>1544</v>
      </c>
      <c r="F88" s="131" t="s">
        <v>1545</v>
      </c>
      <c r="M88" s="131" t="s">
        <v>1546</v>
      </c>
      <c r="N88" s="131" t="s">
        <v>1483</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1545</v>
      </c>
      <c r="C89" s="131" t="s">
        <v>1087</v>
      </c>
      <c r="D89" s="131" t="s">
        <v>1563</v>
      </c>
      <c r="E89" s="131" t="s">
        <v>1544</v>
      </c>
      <c r="F89" s="131" t="s">
        <v>1545</v>
      </c>
      <c r="M89" s="131" t="s">
        <v>1546</v>
      </c>
      <c r="N89" s="131" t="s">
        <v>1483</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1545</v>
      </c>
      <c r="C90" s="131" t="s">
        <v>1087</v>
      </c>
      <c r="D90" s="131" t="s">
        <v>1563</v>
      </c>
      <c r="E90" s="131" t="s">
        <v>1544</v>
      </c>
      <c r="F90" s="131" t="s">
        <v>1545</v>
      </c>
      <c r="M90" s="131" t="s">
        <v>1546</v>
      </c>
      <c r="N90" s="131" t="s">
        <v>1483</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1547</v>
      </c>
      <c r="C91" s="131" t="s">
        <v>1087</v>
      </c>
      <c r="D91" s="131" t="s">
        <v>1563</v>
      </c>
      <c r="E91" s="131" t="s">
        <v>1544</v>
      </c>
      <c r="F91" s="131" t="s">
        <v>1547</v>
      </c>
      <c r="M91" s="131" t="s">
        <v>1548</v>
      </c>
      <c r="N91" s="131" t="s">
        <v>1483</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1550</v>
      </c>
      <c r="C92" s="131" t="s">
        <v>1087</v>
      </c>
      <c r="D92" s="131" t="s">
        <v>1564</v>
      </c>
      <c r="E92" s="131" t="s">
        <v>1549</v>
      </c>
      <c r="F92" s="131" t="s">
        <v>1550</v>
      </c>
      <c r="M92" s="131" t="s">
        <v>1551</v>
      </c>
      <c r="N92" s="131" t="s">
        <v>1483</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1553</v>
      </c>
      <c r="C93" s="131" t="s">
        <v>1087</v>
      </c>
      <c r="D93" s="131" t="s">
        <v>1564</v>
      </c>
      <c r="E93" s="131" t="s">
        <v>1552</v>
      </c>
      <c r="F93" s="131" t="s">
        <v>1553</v>
      </c>
      <c r="M93" s="131" t="s">
        <v>1554</v>
      </c>
      <c r="N93" s="131" t="s">
        <v>1483</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1555</v>
      </c>
      <c r="C94" s="131" t="s">
        <v>1087</v>
      </c>
      <c r="D94" s="131" t="s">
        <v>1564</v>
      </c>
      <c r="E94" s="131" t="s">
        <v>1552</v>
      </c>
      <c r="F94" s="131" t="s">
        <v>1555</v>
      </c>
      <c r="M94" s="131" t="s">
        <v>1556</v>
      </c>
      <c r="N94" s="131" t="s">
        <v>1483</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1557</v>
      </c>
      <c r="C95" s="131" t="s">
        <v>1087</v>
      </c>
      <c r="D95" s="131" t="s">
        <v>1564</v>
      </c>
      <c r="E95" s="131" t="s">
        <v>1552</v>
      </c>
      <c r="F95" s="131" t="s">
        <v>1557</v>
      </c>
      <c r="M95" s="131" t="s">
        <v>1558</v>
      </c>
      <c r="N95" s="131" t="s">
        <v>1483</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1559</v>
      </c>
      <c r="C96" s="131" t="s">
        <v>1087</v>
      </c>
      <c r="D96" s="131" t="s">
        <v>1564</v>
      </c>
      <c r="E96" s="131" t="s">
        <v>1552</v>
      </c>
      <c r="F96" s="131" t="s">
        <v>1559</v>
      </c>
      <c r="M96" s="131" t="s">
        <v>1560</v>
      </c>
      <c r="N96" s="131" t="s">
        <v>1483</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B48" sqref="B48"/>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1410</v>
      </c>
      <c r="J1" s="137" t="s">
        <v>558</v>
      </c>
      <c r="K1" s="137" t="s">
        <v>1309</v>
      </c>
      <c r="L1" s="94" t="s">
        <v>123</v>
      </c>
      <c r="M1" s="94" t="s">
        <v>1409</v>
      </c>
      <c r="N1" s="137" t="s">
        <v>1413</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12FB3-00AE-4F08-B184-56FDB49C57EC}">
  <sheetPr>
    <pageSetUpPr fitToPage="1"/>
  </sheetPr>
  <dimension ref="A1:BK35"/>
  <sheetViews>
    <sheetView showGridLines="0" showRuler="0" zoomScaleNormal="100" zoomScalePageLayoutView="70" workbookViewId="0">
      <selection activeCell="H22" sqref="H22"/>
    </sheetView>
  </sheetViews>
  <sheetFormatPr defaultColWidth="9" defaultRowHeight="30" customHeight="1"/>
  <cols>
    <col min="1" max="1" width="2.75" style="271" customWidth="1"/>
    <col min="2" max="3" width="19.875" style="246" customWidth="1"/>
    <col min="4" max="4" width="20.625" style="289" customWidth="1"/>
    <col min="5" max="5" width="10.375" style="288" customWidth="1"/>
    <col min="6" max="6" width="10.375" style="289" customWidth="1"/>
    <col min="7" max="7" width="2.75" style="289" customWidth="1"/>
    <col min="8" max="63" width="3.625" style="289" customWidth="1"/>
    <col min="64" max="16384" width="9" style="289"/>
  </cols>
  <sheetData>
    <row r="1" spans="1:63" s="246" customFormat="1" ht="50.1" customHeight="1">
      <c r="A1" s="243" t="s">
        <v>1585</v>
      </c>
      <c r="B1" s="244" t="s">
        <v>1586</v>
      </c>
      <c r="C1" s="244"/>
      <c r="D1" s="245"/>
      <c r="F1" s="247"/>
    </row>
    <row r="2" spans="1:63" s="246" customFormat="1" ht="30" customHeight="1">
      <c r="A2" s="243" t="s">
        <v>1587</v>
      </c>
      <c r="B2" s="248" t="s">
        <v>1588</v>
      </c>
      <c r="C2" s="248"/>
      <c r="D2" s="249" t="s">
        <v>1589</v>
      </c>
      <c r="E2" s="360">
        <f ca="1">IFERROR(IF(MIN(중요_시점[시작])=0,TODAY(),MIN(중요_시점[시작])),TODAY())</f>
        <v>44511</v>
      </c>
      <c r="F2" s="361"/>
      <c r="I2" s="250"/>
      <c r="J2" s="250"/>
      <c r="K2" s="250"/>
      <c r="L2" s="250"/>
      <c r="M2" s="250"/>
      <c r="N2" s="250"/>
    </row>
    <row r="3" spans="1:63" s="246" customFormat="1" ht="30" customHeight="1">
      <c r="A3" s="243" t="s">
        <v>1590</v>
      </c>
      <c r="B3" s="248" t="s">
        <v>1591</v>
      </c>
      <c r="C3" s="248"/>
      <c r="D3" s="249" t="s">
        <v>1592</v>
      </c>
      <c r="E3" s="251">
        <v>10</v>
      </c>
      <c r="H3" s="252"/>
      <c r="I3" s="253"/>
      <c r="J3" s="253"/>
      <c r="K3" s="253"/>
      <c r="L3" s="253"/>
      <c r="M3" s="252"/>
    </row>
    <row r="4" spans="1:63" s="246" customFormat="1" ht="30" customHeight="1" thickBot="1">
      <c r="A4" s="243" t="s">
        <v>1593</v>
      </c>
      <c r="D4" s="254" t="s">
        <v>1594</v>
      </c>
      <c r="E4" s="255">
        <v>1</v>
      </c>
      <c r="F4" s="256">
        <f>중요_시점_표식</f>
        <v>1</v>
      </c>
      <c r="H4" s="257" t="str">
        <f ca="1">TEXT(H5,"m월")</f>
        <v>11월</v>
      </c>
      <c r="I4" s="257"/>
      <c r="J4" s="257"/>
      <c r="K4" s="257"/>
      <c r="L4" s="257"/>
      <c r="M4" s="257"/>
      <c r="N4" s="257"/>
      <c r="O4" s="257" t="str">
        <f ca="1">IF(TEXT(O5,"m월")=H4,"",TEXT(O5,"m월"))</f>
        <v/>
      </c>
      <c r="P4" s="257"/>
      <c r="Q4" s="257"/>
      <c r="R4" s="257"/>
      <c r="S4" s="257"/>
      <c r="T4" s="257"/>
      <c r="U4" s="257"/>
      <c r="V4" s="257" t="str">
        <f ca="1">IF(OR(TEXT(V5,"m월")=O4,TEXT(V5,"m월")=H4),"",TEXT(V5,"m월"))</f>
        <v>12월</v>
      </c>
      <c r="W4" s="257"/>
      <c r="X4" s="257"/>
      <c r="Y4" s="257"/>
      <c r="Z4" s="257"/>
      <c r="AA4" s="257"/>
      <c r="AB4" s="257"/>
      <c r="AC4" s="257" t="str">
        <f ca="1">IF(OR(TEXT(AC5,"m월")=V4,TEXT(AC5,"m월")=O4,TEXT(AC5,"m월")=H4),"",TEXT(AC5,"m월"))</f>
        <v/>
      </c>
      <c r="AD4" s="257"/>
      <c r="AE4" s="257"/>
      <c r="AF4" s="257"/>
      <c r="AG4" s="257"/>
      <c r="AH4" s="257"/>
      <c r="AI4" s="257"/>
      <c r="AJ4" s="257" t="str">
        <f ca="1">IF(OR(TEXT(AJ5,"m월")=AC4,TEXT(AJ5,"m월")=V4,TEXT(AJ5,"m월")=O4,TEXT(AJ5,"m월")=H4),"",TEXT(AJ5,"m월"))</f>
        <v/>
      </c>
      <c r="AK4" s="257"/>
      <c r="AL4" s="257"/>
      <c r="AM4" s="257"/>
      <c r="AN4" s="257"/>
      <c r="AO4" s="257"/>
      <c r="AP4" s="257"/>
      <c r="AQ4" s="257" t="str">
        <f ca="1">IF(OR(TEXT(AQ5,"m월")=AJ4,TEXT(AQ5,"m월")=AC4,TEXT(AQ5,"m월")=V4,TEXT(AQ5,"m월")=O4),"",TEXT(AQ5,"m월"))</f>
        <v/>
      </c>
      <c r="AR4" s="257"/>
      <c r="AS4" s="257"/>
      <c r="AT4" s="257"/>
      <c r="AU4" s="257"/>
      <c r="AV4" s="257"/>
      <c r="AW4" s="257"/>
      <c r="AX4" s="257" t="str">
        <f ca="1">IF(OR(TEXT(AX5,"m월")=AQ4,TEXT(AX5,"m월")=AJ4,TEXT(AX5,"m월")=AC4,TEXT(AX5,"m월")=V4),"",TEXT(AX5,"m월"))</f>
        <v>1월</v>
      </c>
      <c r="AY4" s="257"/>
      <c r="AZ4" s="257"/>
      <c r="BA4" s="257"/>
      <c r="BB4" s="257"/>
      <c r="BC4" s="257"/>
      <c r="BD4" s="257"/>
      <c r="BE4" s="257" t="str">
        <f ca="1">IF(OR(TEXT(BE5,"m월")=AX4,TEXT(BE5,"m월")=AQ4,TEXT(BE5,"m월")=AJ4,TEXT(BE5,"m월")=AC4),"",TEXT(BE5,"m월"))</f>
        <v/>
      </c>
      <c r="BF4" s="257"/>
      <c r="BG4" s="257"/>
      <c r="BH4" s="257"/>
      <c r="BI4" s="257"/>
      <c r="BJ4" s="257"/>
      <c r="BK4" s="257"/>
    </row>
    <row r="5" spans="1:63" s="246" customFormat="1" ht="18" customHeight="1">
      <c r="A5" s="243" t="s">
        <v>1595</v>
      </c>
      <c r="B5" s="258"/>
      <c r="C5" s="258"/>
      <c r="E5" s="259"/>
      <c r="H5" s="260">
        <f ca="1">IFERROR(Project_Start+스크롤_증분,TODAY())</f>
        <v>44521</v>
      </c>
      <c r="I5" s="261">
        <f ca="1">H5+1</f>
        <v>44522</v>
      </c>
      <c r="J5" s="262">
        <f t="shared" ref="J5:AW5" ca="1" si="0">I5+1</f>
        <v>44523</v>
      </c>
      <c r="K5" s="262">
        <f ca="1">J5+1</f>
        <v>44524</v>
      </c>
      <c r="L5" s="262">
        <f t="shared" ca="1" si="0"/>
        <v>44525</v>
      </c>
      <c r="M5" s="262">
        <f t="shared" ca="1" si="0"/>
        <v>44526</v>
      </c>
      <c r="N5" s="262">
        <f t="shared" ca="1" si="0"/>
        <v>44527</v>
      </c>
      <c r="O5" s="262">
        <f ca="1">N5+1</f>
        <v>44528</v>
      </c>
      <c r="P5" s="262">
        <f ca="1">O5+1</f>
        <v>44529</v>
      </c>
      <c r="Q5" s="262">
        <f t="shared" ca="1" si="0"/>
        <v>44530</v>
      </c>
      <c r="R5" s="262">
        <f t="shared" ca="1" si="0"/>
        <v>44531</v>
      </c>
      <c r="S5" s="262">
        <f t="shared" ca="1" si="0"/>
        <v>44532</v>
      </c>
      <c r="T5" s="262">
        <f t="shared" ca="1" si="0"/>
        <v>44533</v>
      </c>
      <c r="U5" s="262">
        <f t="shared" ca="1" si="0"/>
        <v>44534</v>
      </c>
      <c r="V5" s="262">
        <f ca="1">U5+1</f>
        <v>44535</v>
      </c>
      <c r="W5" s="262">
        <f ca="1">V5+1</f>
        <v>44536</v>
      </c>
      <c r="X5" s="262">
        <f t="shared" ca="1" si="0"/>
        <v>44537</v>
      </c>
      <c r="Y5" s="262">
        <f t="shared" ca="1" si="0"/>
        <v>44538</v>
      </c>
      <c r="Z5" s="262">
        <f t="shared" ca="1" si="0"/>
        <v>44539</v>
      </c>
      <c r="AA5" s="262">
        <f t="shared" ca="1" si="0"/>
        <v>44540</v>
      </c>
      <c r="AB5" s="262">
        <f t="shared" ca="1" si="0"/>
        <v>44541</v>
      </c>
      <c r="AC5" s="262">
        <f ca="1">AB5+1</f>
        <v>44542</v>
      </c>
      <c r="AD5" s="262">
        <f ca="1">AC5+1</f>
        <v>44543</v>
      </c>
      <c r="AE5" s="262">
        <f t="shared" ca="1" si="0"/>
        <v>44544</v>
      </c>
      <c r="AF5" s="262">
        <f t="shared" ca="1" si="0"/>
        <v>44545</v>
      </c>
      <c r="AG5" s="262">
        <f t="shared" ca="1" si="0"/>
        <v>44546</v>
      </c>
      <c r="AH5" s="262">
        <f t="shared" ca="1" si="0"/>
        <v>44547</v>
      </c>
      <c r="AI5" s="262">
        <f t="shared" ca="1" si="0"/>
        <v>44548</v>
      </c>
      <c r="AJ5" s="262">
        <f ca="1">AI5+1</f>
        <v>44549</v>
      </c>
      <c r="AK5" s="262">
        <f ca="1">AJ5+1</f>
        <v>44550</v>
      </c>
      <c r="AL5" s="262">
        <f t="shared" ca="1" si="0"/>
        <v>44551</v>
      </c>
      <c r="AM5" s="262">
        <f t="shared" ca="1" si="0"/>
        <v>44552</v>
      </c>
      <c r="AN5" s="262">
        <f t="shared" ca="1" si="0"/>
        <v>44553</v>
      </c>
      <c r="AO5" s="262">
        <f t="shared" ca="1" si="0"/>
        <v>44554</v>
      </c>
      <c r="AP5" s="262">
        <f t="shared" ca="1" si="0"/>
        <v>44555</v>
      </c>
      <c r="AQ5" s="262">
        <f ca="1">AP5+1</f>
        <v>44556</v>
      </c>
      <c r="AR5" s="262">
        <f ca="1">AQ5+1</f>
        <v>44557</v>
      </c>
      <c r="AS5" s="262">
        <f t="shared" ca="1" si="0"/>
        <v>44558</v>
      </c>
      <c r="AT5" s="262">
        <f t="shared" ca="1" si="0"/>
        <v>44559</v>
      </c>
      <c r="AU5" s="262">
        <f t="shared" ca="1" si="0"/>
        <v>44560</v>
      </c>
      <c r="AV5" s="262">
        <f t="shared" ca="1" si="0"/>
        <v>44561</v>
      </c>
      <c r="AW5" s="262">
        <f t="shared" ca="1" si="0"/>
        <v>44562</v>
      </c>
      <c r="AX5" s="262">
        <f ca="1">AW5+1</f>
        <v>44563</v>
      </c>
      <c r="AY5" s="262">
        <f ca="1">AX5+1</f>
        <v>44564</v>
      </c>
      <c r="AZ5" s="262">
        <f t="shared" ref="AZ5:BD5" ca="1" si="1">AY5+1</f>
        <v>44565</v>
      </c>
      <c r="BA5" s="262">
        <f t="shared" ca="1" si="1"/>
        <v>44566</v>
      </c>
      <c r="BB5" s="262">
        <f t="shared" ca="1" si="1"/>
        <v>44567</v>
      </c>
      <c r="BC5" s="262">
        <f t="shared" ca="1" si="1"/>
        <v>44568</v>
      </c>
      <c r="BD5" s="262">
        <f t="shared" ca="1" si="1"/>
        <v>44569</v>
      </c>
      <c r="BE5" s="262">
        <f ca="1">BD5+1</f>
        <v>44570</v>
      </c>
      <c r="BF5" s="262">
        <f ca="1">BE5+1</f>
        <v>44571</v>
      </c>
      <c r="BG5" s="262">
        <f t="shared" ref="BG5:BK5" ca="1" si="2">BF5+1</f>
        <v>44572</v>
      </c>
      <c r="BH5" s="262">
        <f t="shared" ca="1" si="2"/>
        <v>44573</v>
      </c>
      <c r="BI5" s="262">
        <f t="shared" ca="1" si="2"/>
        <v>44574</v>
      </c>
      <c r="BJ5" s="262">
        <f t="shared" ca="1" si="2"/>
        <v>44575</v>
      </c>
      <c r="BK5" s="263">
        <f t="shared" ca="1" si="2"/>
        <v>44576</v>
      </c>
    </row>
    <row r="6" spans="1:63" s="246" customFormat="1" ht="30.95" customHeight="1" thickBot="1">
      <c r="A6" s="243" t="s">
        <v>1596</v>
      </c>
      <c r="B6" s="264" t="s">
        <v>1597</v>
      </c>
      <c r="C6" s="264" t="s">
        <v>1598</v>
      </c>
      <c r="D6" s="265" t="s">
        <v>1599</v>
      </c>
      <c r="E6" s="265" t="s">
        <v>1600</v>
      </c>
      <c r="F6" s="265" t="s">
        <v>1601</v>
      </c>
      <c r="G6" s="266"/>
      <c r="H6" s="267" t="str">
        <f t="shared" ref="H6:BK6" ca="1" si="3">LEFT(TEXT(H5,"aaa"),1)</f>
        <v>일</v>
      </c>
      <c r="I6" s="268" t="str">
        <f t="shared" ca="1" si="3"/>
        <v>월</v>
      </c>
      <c r="J6" s="269" t="str">
        <f t="shared" ca="1" si="3"/>
        <v>화</v>
      </c>
      <c r="K6" s="270" t="str">
        <f t="shared" ca="1" si="3"/>
        <v>수</v>
      </c>
      <c r="L6" s="270" t="str">
        <f t="shared" ca="1" si="3"/>
        <v>목</v>
      </c>
      <c r="M6" s="270" t="str">
        <f t="shared" ca="1" si="3"/>
        <v>금</v>
      </c>
      <c r="N6" s="270" t="str">
        <f t="shared" ca="1" si="3"/>
        <v>토</v>
      </c>
      <c r="O6" s="270" t="str">
        <f t="shared" ca="1" si="3"/>
        <v>일</v>
      </c>
      <c r="P6" s="270" t="str">
        <f t="shared" ca="1" si="3"/>
        <v>월</v>
      </c>
      <c r="Q6" s="270" t="str">
        <f t="shared" ca="1" si="3"/>
        <v>화</v>
      </c>
      <c r="R6" s="270" t="str">
        <f t="shared" ca="1" si="3"/>
        <v>수</v>
      </c>
      <c r="S6" s="270" t="str">
        <f t="shared" ca="1" si="3"/>
        <v>목</v>
      </c>
      <c r="T6" s="270" t="str">
        <f t="shared" ca="1" si="3"/>
        <v>금</v>
      </c>
      <c r="U6" s="270" t="str">
        <f t="shared" ca="1" si="3"/>
        <v>토</v>
      </c>
      <c r="V6" s="270" t="str">
        <f t="shared" ca="1" si="3"/>
        <v>일</v>
      </c>
      <c r="W6" s="270" t="str">
        <f t="shared" ca="1" si="3"/>
        <v>월</v>
      </c>
      <c r="X6" s="270" t="str">
        <f t="shared" ca="1" si="3"/>
        <v>화</v>
      </c>
      <c r="Y6" s="270" t="str">
        <f t="shared" ca="1" si="3"/>
        <v>수</v>
      </c>
      <c r="Z6" s="270" t="str">
        <f t="shared" ca="1" si="3"/>
        <v>목</v>
      </c>
      <c r="AA6" s="270" t="str">
        <f t="shared" ca="1" si="3"/>
        <v>금</v>
      </c>
      <c r="AB6" s="270" t="str">
        <f t="shared" ca="1" si="3"/>
        <v>토</v>
      </c>
      <c r="AC6" s="270" t="str">
        <f t="shared" ca="1" si="3"/>
        <v>일</v>
      </c>
      <c r="AD6" s="270" t="str">
        <f t="shared" ca="1" si="3"/>
        <v>월</v>
      </c>
      <c r="AE6" s="270" t="str">
        <f t="shared" ca="1" si="3"/>
        <v>화</v>
      </c>
      <c r="AF6" s="270" t="str">
        <f t="shared" ca="1" si="3"/>
        <v>수</v>
      </c>
      <c r="AG6" s="270" t="str">
        <f t="shared" ca="1" si="3"/>
        <v>목</v>
      </c>
      <c r="AH6" s="270" t="str">
        <f t="shared" ca="1" si="3"/>
        <v>금</v>
      </c>
      <c r="AI6" s="270" t="str">
        <f t="shared" ca="1" si="3"/>
        <v>토</v>
      </c>
      <c r="AJ6" s="270" t="str">
        <f t="shared" ca="1" si="3"/>
        <v>일</v>
      </c>
      <c r="AK6" s="270" t="str">
        <f t="shared" ca="1" si="3"/>
        <v>월</v>
      </c>
      <c r="AL6" s="270" t="str">
        <f t="shared" ca="1" si="3"/>
        <v>화</v>
      </c>
      <c r="AM6" s="270" t="str">
        <f t="shared" ca="1" si="3"/>
        <v>수</v>
      </c>
      <c r="AN6" s="270" t="str">
        <f t="shared" ca="1" si="3"/>
        <v>목</v>
      </c>
      <c r="AO6" s="270" t="str">
        <f t="shared" ca="1" si="3"/>
        <v>금</v>
      </c>
      <c r="AP6" s="270" t="str">
        <f t="shared" ca="1" si="3"/>
        <v>토</v>
      </c>
      <c r="AQ6" s="270" t="str">
        <f t="shared" ca="1" si="3"/>
        <v>일</v>
      </c>
      <c r="AR6" s="270" t="str">
        <f t="shared" ca="1" si="3"/>
        <v>월</v>
      </c>
      <c r="AS6" s="270" t="str">
        <f t="shared" ca="1" si="3"/>
        <v>화</v>
      </c>
      <c r="AT6" s="270" t="str">
        <f t="shared" ca="1" si="3"/>
        <v>수</v>
      </c>
      <c r="AU6" s="270" t="str">
        <f t="shared" ca="1" si="3"/>
        <v>목</v>
      </c>
      <c r="AV6" s="270" t="str">
        <f t="shared" ca="1" si="3"/>
        <v>금</v>
      </c>
      <c r="AW6" s="270" t="str">
        <f t="shared" ca="1" si="3"/>
        <v>토</v>
      </c>
      <c r="AX6" s="270" t="str">
        <f t="shared" ca="1" si="3"/>
        <v>일</v>
      </c>
      <c r="AY6" s="270" t="str">
        <f t="shared" ca="1" si="3"/>
        <v>월</v>
      </c>
      <c r="AZ6" s="270" t="str">
        <f t="shared" ca="1" si="3"/>
        <v>화</v>
      </c>
      <c r="BA6" s="270" t="str">
        <f t="shared" ca="1" si="3"/>
        <v>수</v>
      </c>
      <c r="BB6" s="270" t="str">
        <f t="shared" ca="1" si="3"/>
        <v>목</v>
      </c>
      <c r="BC6" s="270" t="str">
        <f t="shared" ca="1" si="3"/>
        <v>금</v>
      </c>
      <c r="BD6" s="270" t="str">
        <f t="shared" ca="1" si="3"/>
        <v>토</v>
      </c>
      <c r="BE6" s="270" t="str">
        <f t="shared" ca="1" si="3"/>
        <v>일</v>
      </c>
      <c r="BF6" s="270" t="str">
        <f t="shared" ca="1" si="3"/>
        <v>월</v>
      </c>
      <c r="BG6" s="270" t="str">
        <f t="shared" ca="1" si="3"/>
        <v>화</v>
      </c>
      <c r="BH6" s="270" t="str">
        <f t="shared" ca="1" si="3"/>
        <v>수</v>
      </c>
      <c r="BI6" s="270" t="str">
        <f t="shared" ca="1" si="3"/>
        <v>목</v>
      </c>
      <c r="BJ6" s="270" t="str">
        <f t="shared" ca="1" si="3"/>
        <v>금</v>
      </c>
      <c r="BK6" s="270" t="str">
        <f t="shared" ca="1" si="3"/>
        <v>토</v>
      </c>
    </row>
    <row r="7" spans="1:63" s="246" customFormat="1" ht="30" hidden="1" customHeight="1" thickBot="1">
      <c r="A7" s="271" t="s">
        <v>1602</v>
      </c>
      <c r="B7" s="272"/>
      <c r="C7" s="272"/>
      <c r="D7" s="265"/>
      <c r="E7" s="273"/>
      <c r="F7" s="274"/>
      <c r="H7" s="275"/>
      <c r="I7" s="275"/>
      <c r="J7" s="275"/>
      <c r="K7" s="275"/>
      <c r="L7" s="275"/>
      <c r="M7" s="275"/>
      <c r="N7" s="275"/>
      <c r="O7" s="275"/>
      <c r="P7" s="275"/>
      <c r="Q7" s="275"/>
      <c r="R7" s="275"/>
      <c r="S7" s="275"/>
      <c r="T7" s="275"/>
      <c r="U7" s="275"/>
      <c r="V7" s="275"/>
      <c r="W7" s="275"/>
      <c r="X7" s="275"/>
      <c r="Y7" s="275"/>
      <c r="Z7" s="275"/>
      <c r="AA7" s="275"/>
      <c r="AB7" s="275"/>
      <c r="AC7" s="275"/>
      <c r="AD7" s="275"/>
      <c r="AE7" s="275"/>
      <c r="AF7" s="275"/>
      <c r="AG7" s="275"/>
      <c r="AH7" s="275"/>
      <c r="AI7" s="275"/>
      <c r="AJ7" s="275"/>
      <c r="AK7" s="275"/>
      <c r="AL7" s="275"/>
      <c r="AM7" s="275"/>
      <c r="AN7" s="275"/>
      <c r="AO7" s="275"/>
      <c r="AP7" s="275"/>
      <c r="AQ7" s="275"/>
      <c r="AR7" s="275"/>
      <c r="AS7" s="275"/>
      <c r="AT7" s="275"/>
      <c r="AU7" s="275"/>
      <c r="AV7" s="275"/>
      <c r="AW7" s="275"/>
      <c r="AX7" s="275"/>
      <c r="AY7" s="275"/>
      <c r="AZ7" s="275"/>
      <c r="BA7" s="275"/>
      <c r="BB7" s="275"/>
      <c r="BC7" s="275"/>
      <c r="BD7" s="275"/>
      <c r="BE7" s="275"/>
      <c r="BF7" s="275"/>
      <c r="BG7" s="275"/>
      <c r="BH7" s="275"/>
      <c r="BI7" s="275"/>
      <c r="BJ7" s="275"/>
      <c r="BK7" s="275"/>
    </row>
    <row r="8" spans="1:63" s="279" customFormat="1" ht="30" customHeight="1">
      <c r="A8" s="243" t="s">
        <v>1603</v>
      </c>
      <c r="B8" s="276" t="s">
        <v>1604</v>
      </c>
      <c r="C8" s="276"/>
      <c r="D8" s="256"/>
      <c r="E8" s="273"/>
      <c r="F8" s="274"/>
      <c r="G8" s="277"/>
      <c r="H8" s="278" t="str">
        <f>IFERROR(IF(LEN(중요_시점[[#This Row],[일수]])=0,"",IF(AND(H$5=$E8,$F8=1),중요_시점_표식,"")),"")</f>
        <v/>
      </c>
      <c r="I8" s="278" t="str">
        <f>IFERROR(IF(LEN(중요_시점[[#This Row],[일수]])=0,"",IF(AND(I$5=$E8,$F8=1),중요_시점_표식,"")),"")</f>
        <v/>
      </c>
      <c r="J8" s="278" t="str">
        <f>IFERROR(IF(LEN(중요_시점[[#This Row],[일수]])=0,"",IF(AND(J$5=$E8,$F8=1),중요_시점_표식,"")),"")</f>
        <v/>
      </c>
      <c r="K8" s="278" t="str">
        <f>IFERROR(IF(LEN(중요_시점[[#This Row],[일수]])=0,"",IF(AND(K$5=$E8,$F8=1),중요_시점_표식,"")),"")</f>
        <v/>
      </c>
      <c r="L8" s="278" t="str">
        <f>IFERROR(IF(LEN(중요_시점[[#This Row],[일수]])=0,"",IF(AND(L$5=$E8,$F8=1),중요_시점_표식,"")),"")</f>
        <v/>
      </c>
      <c r="M8" s="278" t="str">
        <f>IFERROR(IF(LEN(중요_시점[[#This Row],[일수]])=0,"",IF(AND(M$5=$E8,$F8=1),중요_시점_표식,"")),"")</f>
        <v/>
      </c>
      <c r="N8" s="278" t="str">
        <f>IFERROR(IF(LEN(중요_시점[[#This Row],[일수]])=0,"",IF(AND(N$5=$E8,$F8=1),중요_시점_표식,"")),"")</f>
        <v/>
      </c>
      <c r="O8" s="278" t="str">
        <f>IFERROR(IF(LEN(중요_시점[[#This Row],[일수]])=0,"",IF(AND(O$5=$E8,$F8=1),중요_시점_표식,"")),"")</f>
        <v/>
      </c>
      <c r="P8" s="278" t="str">
        <f>IFERROR(IF(LEN(중요_시점[[#This Row],[일수]])=0,"",IF(AND(P$5=$E8,$F8=1),중요_시점_표식,"")),"")</f>
        <v/>
      </c>
      <c r="Q8" s="278" t="str">
        <f>IFERROR(IF(LEN(중요_시점[[#This Row],[일수]])=0,"",IF(AND(Q$5=$E8,$F8=1),중요_시점_표식,"")),"")</f>
        <v/>
      </c>
      <c r="R8" s="278" t="str">
        <f>IFERROR(IF(LEN(중요_시점[[#This Row],[일수]])=0,"",IF(AND(R$5=$E8,$F8=1),중요_시점_표식,"")),"")</f>
        <v/>
      </c>
      <c r="S8" s="278" t="str">
        <f>IFERROR(IF(LEN(중요_시점[[#This Row],[일수]])=0,"",IF(AND(S$5=$E8,$F8=1),중요_시점_표식,"")),"")</f>
        <v/>
      </c>
      <c r="T8" s="278" t="str">
        <f>IFERROR(IF(LEN(중요_시점[[#This Row],[일수]])=0,"",IF(AND(T$5=$E8,$F8=1),중요_시점_표식,"")),"")</f>
        <v/>
      </c>
      <c r="U8" s="278" t="str">
        <f>IFERROR(IF(LEN(중요_시점[[#This Row],[일수]])=0,"",IF(AND(U$5=$E8,$F8=1),중요_시점_표식,"")),"")</f>
        <v/>
      </c>
      <c r="V8" s="278" t="str">
        <f>IFERROR(IF(LEN(중요_시점[[#This Row],[일수]])=0,"",IF(AND(V$5=$E8,$F8=1),중요_시점_표식,"")),"")</f>
        <v/>
      </c>
      <c r="W8" s="278" t="str">
        <f>IFERROR(IF(LEN(중요_시점[[#This Row],[일수]])=0,"",IF(AND(W$5=$E8,$F8=1),중요_시점_표식,"")),"")</f>
        <v/>
      </c>
      <c r="X8" s="278" t="str">
        <f>IFERROR(IF(LEN(중요_시점[[#This Row],[일수]])=0,"",IF(AND(X$5=$E8,$F8=1),중요_시점_표식,"")),"")</f>
        <v/>
      </c>
      <c r="Y8" s="278" t="str">
        <f>IFERROR(IF(LEN(중요_시점[[#This Row],[일수]])=0,"",IF(AND(Y$5=$E8,$F8=1),중요_시점_표식,"")),"")</f>
        <v/>
      </c>
      <c r="Z8" s="278" t="str">
        <f>IFERROR(IF(LEN(중요_시점[[#This Row],[일수]])=0,"",IF(AND(Z$5=$E8,$F8=1),중요_시점_표식,"")),"")</f>
        <v/>
      </c>
      <c r="AA8" s="278" t="str">
        <f>IFERROR(IF(LEN(중요_시점[[#This Row],[일수]])=0,"",IF(AND(AA$5=$E8,$F8=1),중요_시점_표식,"")),"")</f>
        <v/>
      </c>
      <c r="AB8" s="278" t="str">
        <f>IFERROR(IF(LEN(중요_시점[[#This Row],[일수]])=0,"",IF(AND(AB$5=$E8,$F8=1),중요_시점_표식,"")),"")</f>
        <v/>
      </c>
      <c r="AC8" s="278" t="str">
        <f>IFERROR(IF(LEN(중요_시점[[#This Row],[일수]])=0,"",IF(AND(AC$5=$E8,$F8=1),중요_시점_표식,"")),"")</f>
        <v/>
      </c>
      <c r="AD8" s="278" t="str">
        <f>IFERROR(IF(LEN(중요_시점[[#This Row],[일수]])=0,"",IF(AND(AD$5=$E8,$F8=1),중요_시점_표식,"")),"")</f>
        <v/>
      </c>
      <c r="AE8" s="278" t="str">
        <f>IFERROR(IF(LEN(중요_시점[[#This Row],[일수]])=0,"",IF(AND(AE$5=$E8,$F8=1),중요_시점_표식,"")),"")</f>
        <v/>
      </c>
      <c r="AF8" s="278" t="str">
        <f>IFERROR(IF(LEN(중요_시점[[#This Row],[일수]])=0,"",IF(AND(AF$5=$E8,$F8=1),중요_시점_표식,"")),"")</f>
        <v/>
      </c>
      <c r="AG8" s="278" t="str">
        <f>IFERROR(IF(LEN(중요_시점[[#This Row],[일수]])=0,"",IF(AND(AG$5=$E8,$F8=1),중요_시점_표식,"")),"")</f>
        <v/>
      </c>
      <c r="AH8" s="278" t="str">
        <f>IFERROR(IF(LEN(중요_시점[[#This Row],[일수]])=0,"",IF(AND(AH$5=$E8,$F8=1),중요_시점_표식,"")),"")</f>
        <v/>
      </c>
      <c r="AI8" s="278" t="str">
        <f>IFERROR(IF(LEN(중요_시점[[#This Row],[일수]])=0,"",IF(AND(AI$5=$E8,$F8=1),중요_시점_표식,"")),"")</f>
        <v/>
      </c>
      <c r="AJ8" s="278" t="str">
        <f>IFERROR(IF(LEN(중요_시점[[#This Row],[일수]])=0,"",IF(AND(AJ$5=$E8,$F8=1),중요_시점_표식,"")),"")</f>
        <v/>
      </c>
      <c r="AK8" s="278" t="str">
        <f>IFERROR(IF(LEN(중요_시점[[#This Row],[일수]])=0,"",IF(AND(AK$5=$E8,$F8=1),중요_시점_표식,"")),"")</f>
        <v/>
      </c>
      <c r="AL8" s="278" t="str">
        <f>IFERROR(IF(LEN(중요_시점[[#This Row],[일수]])=0,"",IF(AND(AL$5=$E8,$F8=1),중요_시점_표식,"")),"")</f>
        <v/>
      </c>
      <c r="AM8" s="278" t="str">
        <f>IFERROR(IF(LEN(중요_시점[[#This Row],[일수]])=0,"",IF(AND(AM$5=$E8,$F8=1),중요_시점_표식,"")),"")</f>
        <v/>
      </c>
      <c r="AN8" s="278" t="str">
        <f>IFERROR(IF(LEN(중요_시점[[#This Row],[일수]])=0,"",IF(AND(AN$5=$E8,$F8=1),중요_시점_표식,"")),"")</f>
        <v/>
      </c>
      <c r="AO8" s="278" t="str">
        <f>IFERROR(IF(LEN(중요_시점[[#This Row],[일수]])=0,"",IF(AND(AO$5=$E8,$F8=1),중요_시점_표식,"")),"")</f>
        <v/>
      </c>
      <c r="AP8" s="278" t="str">
        <f>IFERROR(IF(LEN(중요_시점[[#This Row],[일수]])=0,"",IF(AND(AP$5=$E8,$F8=1),중요_시점_표식,"")),"")</f>
        <v/>
      </c>
      <c r="AQ8" s="278" t="str">
        <f>IFERROR(IF(LEN(중요_시점[[#This Row],[일수]])=0,"",IF(AND(AQ$5=$E8,$F8=1),중요_시점_표식,"")),"")</f>
        <v/>
      </c>
      <c r="AR8" s="278" t="str">
        <f>IFERROR(IF(LEN(중요_시점[[#This Row],[일수]])=0,"",IF(AND(AR$5=$E8,$F8=1),중요_시점_표식,"")),"")</f>
        <v/>
      </c>
      <c r="AS8" s="278" t="str">
        <f>IFERROR(IF(LEN(중요_시점[[#This Row],[일수]])=0,"",IF(AND(AS$5=$E8,$F8=1),중요_시점_표식,"")),"")</f>
        <v/>
      </c>
      <c r="AT8" s="278" t="str">
        <f>IFERROR(IF(LEN(중요_시점[[#This Row],[일수]])=0,"",IF(AND(AT$5=$E8,$F8=1),중요_시점_표식,"")),"")</f>
        <v/>
      </c>
      <c r="AU8" s="278" t="str">
        <f>IFERROR(IF(LEN(중요_시점[[#This Row],[일수]])=0,"",IF(AND(AU$5=$E8,$F8=1),중요_시점_표식,"")),"")</f>
        <v/>
      </c>
      <c r="AV8" s="278" t="str">
        <f>IFERROR(IF(LEN(중요_시점[[#This Row],[일수]])=0,"",IF(AND(AV$5=$E8,$F8=1),중요_시점_표식,"")),"")</f>
        <v/>
      </c>
      <c r="AW8" s="278" t="str">
        <f>IFERROR(IF(LEN(중요_시점[[#This Row],[일수]])=0,"",IF(AND(AW$5=$E8,$F8=1),중요_시점_표식,"")),"")</f>
        <v/>
      </c>
      <c r="AX8" s="278" t="str">
        <f>IFERROR(IF(LEN(중요_시점[[#This Row],[일수]])=0,"",IF(AND(AX$5=$E8,$F8=1),중요_시점_표식,"")),"")</f>
        <v/>
      </c>
      <c r="AY8" s="278" t="str">
        <f>IFERROR(IF(LEN(중요_시점[[#This Row],[일수]])=0,"",IF(AND(AY$5=$E8,$F8=1),중요_시점_표식,"")),"")</f>
        <v/>
      </c>
      <c r="AZ8" s="278" t="str">
        <f>IFERROR(IF(LEN(중요_시점[[#This Row],[일수]])=0,"",IF(AND(AZ$5=$E8,$F8=1),중요_시점_표식,"")),"")</f>
        <v/>
      </c>
      <c r="BA8" s="278" t="str">
        <f>IFERROR(IF(LEN(중요_시점[[#This Row],[일수]])=0,"",IF(AND(BA$5=$E8,$F8=1),중요_시점_표식,"")),"")</f>
        <v/>
      </c>
      <c r="BB8" s="278" t="str">
        <f>IFERROR(IF(LEN(중요_시점[[#This Row],[일수]])=0,"",IF(AND(BB$5=$E8,$F8=1),중요_시점_표식,"")),"")</f>
        <v/>
      </c>
      <c r="BC8" s="278" t="str">
        <f>IFERROR(IF(LEN(중요_시점[[#This Row],[일수]])=0,"",IF(AND(BC$5=$E8,$F8=1),중요_시점_표식,"")),"")</f>
        <v/>
      </c>
      <c r="BD8" s="278" t="str">
        <f>IFERROR(IF(LEN(중요_시점[[#This Row],[일수]])=0,"",IF(AND(BD$5=$E8,$F8=1),중요_시점_표식,"")),"")</f>
        <v/>
      </c>
      <c r="BE8" s="278" t="str">
        <f>IFERROR(IF(LEN(중요_시점[[#This Row],[일수]])=0,"",IF(AND(BE$5=$E8,$F8=1),중요_시점_표식,"")),"")</f>
        <v/>
      </c>
      <c r="BF8" s="278" t="str">
        <f>IFERROR(IF(LEN(중요_시점[[#This Row],[일수]])=0,"",IF(AND(BF$5=$E8,$F8=1),중요_시점_표식,"")),"")</f>
        <v/>
      </c>
      <c r="BG8" s="278" t="str">
        <f>IFERROR(IF(LEN(중요_시점[[#This Row],[일수]])=0,"",IF(AND(BG$5=$E8,$F8=1),중요_시점_표식,"")),"")</f>
        <v/>
      </c>
      <c r="BH8" s="278" t="str">
        <f>IFERROR(IF(LEN(중요_시점[[#This Row],[일수]])=0,"",IF(AND(BH$5=$E8,$F8=1),중요_시점_표식,"")),"")</f>
        <v/>
      </c>
      <c r="BI8" s="278" t="str">
        <f>IFERROR(IF(LEN(중요_시점[[#This Row],[일수]])=0,"",IF(AND(BI$5=$E8,$F8=1),중요_시점_표식,"")),"")</f>
        <v/>
      </c>
      <c r="BJ8" s="278" t="str">
        <f>IFERROR(IF(LEN(중요_시점[[#This Row],[일수]])=0,"",IF(AND(BJ$5=$E8,$F8=1),중요_시점_표식,"")),"")</f>
        <v/>
      </c>
      <c r="BK8" s="278" t="str">
        <f>IFERROR(IF(LEN(중요_시점[[#This Row],[일수]])=0,"",IF(AND(BK$5=$E8,$F8=1),중요_시점_표식,"")),"")</f>
        <v/>
      </c>
    </row>
    <row r="9" spans="1:63" s="279" customFormat="1" ht="30" customHeight="1">
      <c r="A9" s="243"/>
      <c r="B9" s="272" t="s">
        <v>1605</v>
      </c>
      <c r="C9" s="272"/>
      <c r="D9" s="256" t="s">
        <v>1606</v>
      </c>
      <c r="E9" s="273">
        <f ca="1">TODAY()</f>
        <v>44514</v>
      </c>
      <c r="F9" s="274">
        <v>48</v>
      </c>
      <c r="G9" s="277"/>
      <c r="H9" s="278" t="str">
        <f ca="1">IFERROR(IF(LEN(중요_시점[[#This Row],[일수]])=0,"",IF(AND(H$5=$E9,$F9=1),중요_시점_표식,"")),"")</f>
        <v/>
      </c>
      <c r="I9" s="278" t="str">
        <f ca="1">IFERROR(IF(LEN(중요_시점[[#This Row],[일수]])=0,"",IF(AND(I$5=$E9,$F9=1),중요_시점_표식,"")),"")</f>
        <v/>
      </c>
      <c r="J9" s="278" t="str">
        <f ca="1">IFERROR(IF(LEN(중요_시점[[#This Row],[일수]])=0,"",IF(AND(J$5=$E9,$F9=1),중요_시점_표식,"")),"")</f>
        <v/>
      </c>
      <c r="K9" s="278" t="str">
        <f ca="1">IFERROR(IF(LEN(중요_시점[[#This Row],[일수]])=0,"",IF(AND(K$5=$E9,$F9=1),중요_시점_표식,"")),"")</f>
        <v/>
      </c>
      <c r="L9" s="278" t="str">
        <f ca="1">IFERROR(IF(LEN(중요_시점[[#This Row],[일수]])=0,"",IF(AND(L$5=$E9,$F9=1),중요_시점_표식,"")),"")</f>
        <v/>
      </c>
      <c r="M9" s="278" t="str">
        <f ca="1">IFERROR(IF(LEN(중요_시점[[#This Row],[일수]])=0,"",IF(AND(M$5=$E9,$F9=1),중요_시점_표식,"")),"")</f>
        <v/>
      </c>
      <c r="N9" s="278" t="str">
        <f ca="1">IFERROR(IF(LEN(중요_시점[[#This Row],[일수]])=0,"",IF(AND(N$5=$E9,$F9=1),중요_시점_표식,"")),"")</f>
        <v/>
      </c>
      <c r="O9" s="278" t="str">
        <f ca="1">IFERROR(IF(LEN(중요_시점[[#This Row],[일수]])=0,"",IF(AND(O$5=$E9,$F9=1),중요_시점_표식,"")),"")</f>
        <v/>
      </c>
      <c r="P9" s="278" t="str">
        <f ca="1">IFERROR(IF(LEN(중요_시점[[#This Row],[일수]])=0,"",IF(AND(P$5=$E9,$F9=1),중요_시점_표식,"")),"")</f>
        <v/>
      </c>
      <c r="Q9" s="278" t="str">
        <f ca="1">IFERROR(IF(LEN(중요_시점[[#This Row],[일수]])=0,"",IF(AND(Q$5=$E9,$F9=1),중요_시점_표식,"")),"")</f>
        <v/>
      </c>
      <c r="R9" s="278" t="str">
        <f ca="1">IFERROR(IF(LEN(중요_시점[[#This Row],[일수]])=0,"",IF(AND(R$5=$E9,$F9=1),중요_시점_표식,"")),"")</f>
        <v/>
      </c>
      <c r="S9" s="278" t="str">
        <f ca="1">IFERROR(IF(LEN(중요_시점[[#This Row],[일수]])=0,"",IF(AND(S$5=$E9,$F9=1),중요_시점_표식,"")),"")</f>
        <v/>
      </c>
      <c r="T9" s="278" t="str">
        <f ca="1">IFERROR(IF(LEN(중요_시점[[#This Row],[일수]])=0,"",IF(AND(T$5=$E9,$F9=1),중요_시점_표식,"")),"")</f>
        <v/>
      </c>
      <c r="U9" s="278" t="str">
        <f ca="1">IFERROR(IF(LEN(중요_시점[[#This Row],[일수]])=0,"",IF(AND(U$5=$E9,$F9=1),중요_시점_표식,"")),"")</f>
        <v/>
      </c>
      <c r="V9" s="278" t="str">
        <f ca="1">IFERROR(IF(LEN(중요_시점[[#This Row],[일수]])=0,"",IF(AND(V$5=$E9,$F9=1),중요_시점_표식,"")),"")</f>
        <v/>
      </c>
      <c r="W9" s="278" t="str">
        <f ca="1">IFERROR(IF(LEN(중요_시점[[#This Row],[일수]])=0,"",IF(AND(W$5=$E9,$F9=1),중요_시점_표식,"")),"")</f>
        <v/>
      </c>
      <c r="X9" s="278" t="str">
        <f ca="1">IFERROR(IF(LEN(중요_시점[[#This Row],[일수]])=0,"",IF(AND(X$5=$E9,$F9=1),중요_시점_표식,"")),"")</f>
        <v/>
      </c>
      <c r="Y9" s="278" t="str">
        <f ca="1">IFERROR(IF(LEN(중요_시점[[#This Row],[일수]])=0,"",IF(AND(Y$5=$E9,$F9=1),중요_시점_표식,"")),"")</f>
        <v/>
      </c>
      <c r="Z9" s="278" t="str">
        <f ca="1">IFERROR(IF(LEN(중요_시점[[#This Row],[일수]])=0,"",IF(AND(Z$5=$E9,$F9=1),중요_시점_표식,"")),"")</f>
        <v/>
      </c>
      <c r="AA9" s="278" t="str">
        <f ca="1">IFERROR(IF(LEN(중요_시점[[#This Row],[일수]])=0,"",IF(AND(AA$5=$E9,$F9=1),중요_시점_표식,"")),"")</f>
        <v/>
      </c>
      <c r="AB9" s="278" t="str">
        <f ca="1">IFERROR(IF(LEN(중요_시점[[#This Row],[일수]])=0,"",IF(AND(AB$5=$E9,$F9=1),중요_시점_표식,"")),"")</f>
        <v/>
      </c>
      <c r="AC9" s="278" t="str">
        <f ca="1">IFERROR(IF(LEN(중요_시점[[#This Row],[일수]])=0,"",IF(AND(AC$5=$E9,$F9=1),중요_시점_표식,"")),"")</f>
        <v/>
      </c>
      <c r="AD9" s="278" t="str">
        <f ca="1">IFERROR(IF(LEN(중요_시점[[#This Row],[일수]])=0,"",IF(AND(AD$5=$E9,$F9=1),중요_시점_표식,"")),"")</f>
        <v/>
      </c>
      <c r="AE9" s="278" t="str">
        <f ca="1">IFERROR(IF(LEN(중요_시점[[#This Row],[일수]])=0,"",IF(AND(AE$5=$E9,$F9=1),중요_시점_표식,"")),"")</f>
        <v/>
      </c>
      <c r="AF9" s="278" t="str">
        <f ca="1">IFERROR(IF(LEN(중요_시점[[#This Row],[일수]])=0,"",IF(AND(AF$5=$E9,$F9=1),중요_시점_표식,"")),"")</f>
        <v/>
      </c>
      <c r="AG9" s="278" t="str">
        <f ca="1">IFERROR(IF(LEN(중요_시점[[#This Row],[일수]])=0,"",IF(AND(AG$5=$E9,$F9=1),중요_시점_표식,"")),"")</f>
        <v/>
      </c>
      <c r="AH9" s="278" t="str">
        <f ca="1">IFERROR(IF(LEN(중요_시점[[#This Row],[일수]])=0,"",IF(AND(AH$5=$E9,$F9=1),중요_시점_표식,"")),"")</f>
        <v/>
      </c>
      <c r="AI9" s="278" t="str">
        <f ca="1">IFERROR(IF(LEN(중요_시점[[#This Row],[일수]])=0,"",IF(AND(AI$5=$E9,$F9=1),중요_시점_표식,"")),"")</f>
        <v/>
      </c>
      <c r="AJ9" s="278" t="str">
        <f ca="1">IFERROR(IF(LEN(중요_시점[[#This Row],[일수]])=0,"",IF(AND(AJ$5=$E9,$F9=1),중요_시점_표식,"")),"")</f>
        <v/>
      </c>
      <c r="AK9" s="278" t="str">
        <f ca="1">IFERROR(IF(LEN(중요_시점[[#This Row],[일수]])=0,"",IF(AND(AK$5=$E9,$F9=1),중요_시점_표식,"")),"")</f>
        <v/>
      </c>
      <c r="AL9" s="278" t="str">
        <f ca="1">IFERROR(IF(LEN(중요_시점[[#This Row],[일수]])=0,"",IF(AND(AL$5=$E9,$F9=1),중요_시점_표식,"")),"")</f>
        <v/>
      </c>
      <c r="AM9" s="278" t="str">
        <f ca="1">IFERROR(IF(LEN(중요_시점[[#This Row],[일수]])=0,"",IF(AND(AM$5=$E9,$F9=1),중요_시점_표식,"")),"")</f>
        <v/>
      </c>
      <c r="AN9" s="278" t="str">
        <f ca="1">IFERROR(IF(LEN(중요_시점[[#This Row],[일수]])=0,"",IF(AND(AN$5=$E9,$F9=1),중요_시점_표식,"")),"")</f>
        <v/>
      </c>
      <c r="AO9" s="278" t="str">
        <f ca="1">IFERROR(IF(LEN(중요_시점[[#This Row],[일수]])=0,"",IF(AND(AO$5=$E9,$F9=1),중요_시점_표식,"")),"")</f>
        <v/>
      </c>
      <c r="AP9" s="278" t="str">
        <f ca="1">IFERROR(IF(LEN(중요_시점[[#This Row],[일수]])=0,"",IF(AND(AP$5=$E9,$F9=1),중요_시점_표식,"")),"")</f>
        <v/>
      </c>
      <c r="AQ9" s="278" t="str">
        <f ca="1">IFERROR(IF(LEN(중요_시점[[#This Row],[일수]])=0,"",IF(AND(AQ$5=$E9,$F9=1),중요_시점_표식,"")),"")</f>
        <v/>
      </c>
      <c r="AR9" s="278" t="str">
        <f ca="1">IFERROR(IF(LEN(중요_시점[[#This Row],[일수]])=0,"",IF(AND(AR$5=$E9,$F9=1),중요_시점_표식,"")),"")</f>
        <v/>
      </c>
      <c r="AS9" s="278" t="str">
        <f ca="1">IFERROR(IF(LEN(중요_시점[[#This Row],[일수]])=0,"",IF(AND(AS$5=$E9,$F9=1),중요_시점_표식,"")),"")</f>
        <v/>
      </c>
      <c r="AT9" s="278" t="str">
        <f ca="1">IFERROR(IF(LEN(중요_시점[[#This Row],[일수]])=0,"",IF(AND(AT$5=$E9,$F9=1),중요_시점_표식,"")),"")</f>
        <v/>
      </c>
      <c r="AU9" s="278" t="str">
        <f ca="1">IFERROR(IF(LEN(중요_시점[[#This Row],[일수]])=0,"",IF(AND(AU$5=$E9,$F9=1),중요_시점_표식,"")),"")</f>
        <v/>
      </c>
      <c r="AV9" s="278" t="str">
        <f ca="1">IFERROR(IF(LEN(중요_시점[[#This Row],[일수]])=0,"",IF(AND(AV$5=$E9,$F9=1),중요_시점_표식,"")),"")</f>
        <v/>
      </c>
      <c r="AW9" s="278" t="str">
        <f ca="1">IFERROR(IF(LEN(중요_시점[[#This Row],[일수]])=0,"",IF(AND(AW$5=$E9,$F9=1),중요_시점_표식,"")),"")</f>
        <v/>
      </c>
      <c r="AX9" s="278" t="str">
        <f ca="1">IFERROR(IF(LEN(중요_시점[[#This Row],[일수]])=0,"",IF(AND(AX$5=$E9,$F9=1),중요_시점_표식,"")),"")</f>
        <v/>
      </c>
      <c r="AY9" s="278" t="str">
        <f ca="1">IFERROR(IF(LEN(중요_시점[[#This Row],[일수]])=0,"",IF(AND(AY$5=$E9,$F9=1),중요_시점_표식,"")),"")</f>
        <v/>
      </c>
      <c r="AZ9" s="278" t="str">
        <f ca="1">IFERROR(IF(LEN(중요_시점[[#This Row],[일수]])=0,"",IF(AND(AZ$5=$E9,$F9=1),중요_시점_표식,"")),"")</f>
        <v/>
      </c>
      <c r="BA9" s="278" t="str">
        <f ca="1">IFERROR(IF(LEN(중요_시점[[#This Row],[일수]])=0,"",IF(AND(BA$5=$E9,$F9=1),중요_시점_표식,"")),"")</f>
        <v/>
      </c>
      <c r="BB9" s="278" t="str">
        <f ca="1">IFERROR(IF(LEN(중요_시점[[#This Row],[일수]])=0,"",IF(AND(BB$5=$E9,$F9=1),중요_시점_표식,"")),"")</f>
        <v/>
      </c>
      <c r="BC9" s="278" t="str">
        <f ca="1">IFERROR(IF(LEN(중요_시점[[#This Row],[일수]])=0,"",IF(AND(BC$5=$E9,$F9=1),중요_시점_표식,"")),"")</f>
        <v/>
      </c>
      <c r="BD9" s="278" t="str">
        <f ca="1">IFERROR(IF(LEN(중요_시점[[#This Row],[일수]])=0,"",IF(AND(BD$5=$E9,$F9=1),중요_시점_표식,"")),"")</f>
        <v/>
      </c>
      <c r="BE9" s="278" t="str">
        <f ca="1">IFERROR(IF(LEN(중요_시점[[#This Row],[일수]])=0,"",IF(AND(BE$5=$E9,$F9=1),중요_시점_표식,"")),"")</f>
        <v/>
      </c>
      <c r="BF9" s="278" t="str">
        <f ca="1">IFERROR(IF(LEN(중요_시점[[#This Row],[일수]])=0,"",IF(AND(BF$5=$E9,$F9=1),중요_시점_표식,"")),"")</f>
        <v/>
      </c>
      <c r="BG9" s="278" t="str">
        <f ca="1">IFERROR(IF(LEN(중요_시점[[#This Row],[일수]])=0,"",IF(AND(BG$5=$E9,$F9=1),중요_시점_표식,"")),"")</f>
        <v/>
      </c>
      <c r="BH9" s="278" t="str">
        <f ca="1">IFERROR(IF(LEN(중요_시점[[#This Row],[일수]])=0,"",IF(AND(BH$5=$E9,$F9=1),중요_시점_표식,"")),"")</f>
        <v/>
      </c>
      <c r="BI9" s="278" t="str">
        <f ca="1">IFERROR(IF(LEN(중요_시점[[#This Row],[일수]])=0,"",IF(AND(BI$5=$E9,$F9=1),중요_시점_표식,"")),"")</f>
        <v/>
      </c>
      <c r="BJ9" s="278" t="str">
        <f ca="1">IFERROR(IF(LEN(중요_시점[[#This Row],[일수]])=0,"",IF(AND(BJ$5=$E9,$F9=1),중요_시점_표식,"")),"")</f>
        <v/>
      </c>
      <c r="BK9" s="278" t="str">
        <f ca="1">IFERROR(IF(LEN(중요_시점[[#This Row],[일수]])=0,"",IF(AND(BK$5=$E9,$F9=1),중요_시점_표식,"")),"")</f>
        <v/>
      </c>
    </row>
    <row r="10" spans="1:63" s="279" customFormat="1" ht="30" customHeight="1">
      <c r="A10" s="243"/>
      <c r="B10" s="272" t="s">
        <v>1607</v>
      </c>
      <c r="C10" s="272"/>
      <c r="D10" s="256"/>
      <c r="E10" s="273">
        <f ca="1">TODAY()+5</f>
        <v>44519</v>
      </c>
      <c r="F10" s="274">
        <v>10</v>
      </c>
      <c r="G10" s="277"/>
      <c r="H10" s="278" t="str">
        <f ca="1">IFERROR(IF(LEN(중요_시점[[#This Row],[일수]])=0,"",IF(AND(H$5=$E10,$F10=1),중요_시점_표식,"")),"")</f>
        <v/>
      </c>
      <c r="I10" s="278" t="str">
        <f ca="1">IFERROR(IF(LEN(중요_시점[[#This Row],[일수]])=0,"",IF(AND(I$5=$E10,$F10=1),중요_시점_표식,"")),"")</f>
        <v/>
      </c>
      <c r="J10" s="278" t="str">
        <f ca="1">IFERROR(IF(LEN(중요_시점[[#This Row],[일수]])=0,"",IF(AND(J$5=$E10,$F10=1),중요_시점_표식,"")),"")</f>
        <v/>
      </c>
      <c r="K10" s="278" t="str">
        <f ca="1">IFERROR(IF(LEN(중요_시점[[#This Row],[일수]])=0,"",IF(AND(K$5=$E10,$F10=1),중요_시점_표식,"")),"")</f>
        <v/>
      </c>
      <c r="L10" s="278" t="str">
        <f ca="1">IFERROR(IF(LEN(중요_시점[[#This Row],[일수]])=0,"",IF(AND(L$5=$E10,$F10=1),중요_시점_표식,"")),"")</f>
        <v/>
      </c>
      <c r="M10" s="278" t="str">
        <f ca="1">IFERROR(IF(LEN(중요_시점[[#This Row],[일수]])=0,"",IF(AND(M$5=$E10,$F10=1),중요_시점_표식,"")),"")</f>
        <v/>
      </c>
      <c r="N10" s="278" t="str">
        <f ca="1">IFERROR(IF(LEN(중요_시점[[#This Row],[일수]])=0,"",IF(AND(N$5=$E10,$F10=1),중요_시점_표식,"")),"")</f>
        <v/>
      </c>
      <c r="O10" s="278" t="str">
        <f ca="1">IFERROR(IF(LEN(중요_시점[[#This Row],[일수]])=0,"",IF(AND(O$5=$E10,$F10=1),중요_시점_표식,"")),"")</f>
        <v/>
      </c>
      <c r="P10" s="278" t="str">
        <f ca="1">IFERROR(IF(LEN(중요_시점[[#This Row],[일수]])=0,"",IF(AND(P$5=$E10,$F10=1),중요_시점_표식,"")),"")</f>
        <v/>
      </c>
      <c r="Q10" s="278" t="str">
        <f ca="1">IFERROR(IF(LEN(중요_시점[[#This Row],[일수]])=0,"",IF(AND(Q$5=$E10,$F10=1),중요_시점_표식,"")),"")</f>
        <v/>
      </c>
      <c r="R10" s="278" t="str">
        <f ca="1">IFERROR(IF(LEN(중요_시점[[#This Row],[일수]])=0,"",IF(AND(R$5=$E10,$F10=1),중요_시점_표식,"")),"")</f>
        <v/>
      </c>
      <c r="S10" s="278" t="str">
        <f ca="1">IFERROR(IF(LEN(중요_시점[[#This Row],[일수]])=0,"",IF(AND(S$5=$E10,$F10=1),중요_시점_표식,"")),"")</f>
        <v/>
      </c>
      <c r="T10" s="278" t="str">
        <f ca="1">IFERROR(IF(LEN(중요_시점[[#This Row],[일수]])=0,"",IF(AND(T$5=$E10,$F10=1),중요_시점_표식,"")),"")</f>
        <v/>
      </c>
      <c r="U10" s="278" t="str">
        <f ca="1">IFERROR(IF(LEN(중요_시점[[#This Row],[일수]])=0,"",IF(AND(U$5=$E10,$F10=1),중요_시점_표식,"")),"")</f>
        <v/>
      </c>
      <c r="V10" s="278" t="str">
        <f ca="1">IFERROR(IF(LEN(중요_시점[[#This Row],[일수]])=0,"",IF(AND(V$5=$E10,$F10=1),중요_시점_표식,"")),"")</f>
        <v/>
      </c>
      <c r="W10" s="278" t="str">
        <f ca="1">IFERROR(IF(LEN(중요_시점[[#This Row],[일수]])=0,"",IF(AND(W$5=$E10,$F10=1),중요_시점_표식,"")),"")</f>
        <v/>
      </c>
      <c r="X10" s="278" t="str">
        <f ca="1">IFERROR(IF(LEN(중요_시점[[#This Row],[일수]])=0,"",IF(AND(X$5=$E10,$F10=1),중요_시점_표식,"")),"")</f>
        <v/>
      </c>
      <c r="Y10" s="278" t="str">
        <f ca="1">IFERROR(IF(LEN(중요_시점[[#This Row],[일수]])=0,"",IF(AND(Y$5=$E10,$F10=1),중요_시점_표식,"")),"")</f>
        <v/>
      </c>
      <c r="Z10" s="278" t="str">
        <f ca="1">IFERROR(IF(LEN(중요_시점[[#This Row],[일수]])=0,"",IF(AND(Z$5=$E10,$F10=1),중요_시점_표식,"")),"")</f>
        <v/>
      </c>
      <c r="AA10" s="278" t="str">
        <f ca="1">IFERROR(IF(LEN(중요_시점[[#This Row],[일수]])=0,"",IF(AND(AA$5=$E10,$F10=1),중요_시점_표식,"")),"")</f>
        <v/>
      </c>
      <c r="AB10" s="278" t="str">
        <f ca="1">IFERROR(IF(LEN(중요_시점[[#This Row],[일수]])=0,"",IF(AND(AB$5=$E10,$F10=1),중요_시점_표식,"")),"")</f>
        <v/>
      </c>
      <c r="AC10" s="278" t="str">
        <f ca="1">IFERROR(IF(LEN(중요_시점[[#This Row],[일수]])=0,"",IF(AND(AC$5=$E10,$F10=1),중요_시점_표식,"")),"")</f>
        <v/>
      </c>
      <c r="AD10" s="278" t="str">
        <f ca="1">IFERROR(IF(LEN(중요_시점[[#This Row],[일수]])=0,"",IF(AND(AD$5=$E10,$F10=1),중요_시점_표식,"")),"")</f>
        <v/>
      </c>
      <c r="AE10" s="278" t="str">
        <f ca="1">IFERROR(IF(LEN(중요_시점[[#This Row],[일수]])=0,"",IF(AND(AE$5=$E10,$F10=1),중요_시점_표식,"")),"")</f>
        <v/>
      </c>
      <c r="AF10" s="278" t="str">
        <f ca="1">IFERROR(IF(LEN(중요_시점[[#This Row],[일수]])=0,"",IF(AND(AF$5=$E10,$F10=1),중요_시점_표식,"")),"")</f>
        <v/>
      </c>
      <c r="AG10" s="278" t="str">
        <f ca="1">IFERROR(IF(LEN(중요_시점[[#This Row],[일수]])=0,"",IF(AND(AG$5=$E10,$F10=1),중요_시점_표식,"")),"")</f>
        <v/>
      </c>
      <c r="AH10" s="278" t="str">
        <f ca="1">IFERROR(IF(LEN(중요_시점[[#This Row],[일수]])=0,"",IF(AND(AH$5=$E10,$F10=1),중요_시점_표식,"")),"")</f>
        <v/>
      </c>
      <c r="AI10" s="278" t="str">
        <f ca="1">IFERROR(IF(LEN(중요_시점[[#This Row],[일수]])=0,"",IF(AND(AI$5=$E10,$F10=1),중요_시점_표식,"")),"")</f>
        <v/>
      </c>
      <c r="AJ10" s="278" t="str">
        <f ca="1">IFERROR(IF(LEN(중요_시점[[#This Row],[일수]])=0,"",IF(AND(AJ$5=$E10,$F10=1),중요_시점_표식,"")),"")</f>
        <v/>
      </c>
      <c r="AK10" s="278" t="str">
        <f ca="1">IFERROR(IF(LEN(중요_시점[[#This Row],[일수]])=0,"",IF(AND(AK$5=$E10,$F10=1),중요_시점_표식,"")),"")</f>
        <v/>
      </c>
      <c r="AL10" s="278" t="str">
        <f ca="1">IFERROR(IF(LEN(중요_시점[[#This Row],[일수]])=0,"",IF(AND(AL$5=$E10,$F10=1),중요_시점_표식,"")),"")</f>
        <v/>
      </c>
      <c r="AM10" s="278" t="str">
        <f ca="1">IFERROR(IF(LEN(중요_시점[[#This Row],[일수]])=0,"",IF(AND(AM$5=$E10,$F10=1),중요_시점_표식,"")),"")</f>
        <v/>
      </c>
      <c r="AN10" s="278" t="str">
        <f ca="1">IFERROR(IF(LEN(중요_시점[[#This Row],[일수]])=0,"",IF(AND(AN$5=$E10,$F10=1),중요_시점_표식,"")),"")</f>
        <v/>
      </c>
      <c r="AO10" s="278" t="str">
        <f ca="1">IFERROR(IF(LEN(중요_시점[[#This Row],[일수]])=0,"",IF(AND(AO$5=$E10,$F10=1),중요_시점_표식,"")),"")</f>
        <v/>
      </c>
      <c r="AP10" s="278" t="str">
        <f ca="1">IFERROR(IF(LEN(중요_시점[[#This Row],[일수]])=0,"",IF(AND(AP$5=$E10,$F10=1),중요_시점_표식,"")),"")</f>
        <v/>
      </c>
      <c r="AQ10" s="278" t="str">
        <f ca="1">IFERROR(IF(LEN(중요_시점[[#This Row],[일수]])=0,"",IF(AND(AQ$5=$E10,$F10=1),중요_시점_표식,"")),"")</f>
        <v/>
      </c>
      <c r="AR10" s="278" t="str">
        <f ca="1">IFERROR(IF(LEN(중요_시점[[#This Row],[일수]])=0,"",IF(AND(AR$5=$E10,$F10=1),중요_시점_표식,"")),"")</f>
        <v/>
      </c>
      <c r="AS10" s="278" t="str">
        <f ca="1">IFERROR(IF(LEN(중요_시점[[#This Row],[일수]])=0,"",IF(AND(AS$5=$E10,$F10=1),중요_시점_표식,"")),"")</f>
        <v/>
      </c>
      <c r="AT10" s="278" t="str">
        <f ca="1">IFERROR(IF(LEN(중요_시점[[#This Row],[일수]])=0,"",IF(AND(AT$5=$E10,$F10=1),중요_시점_표식,"")),"")</f>
        <v/>
      </c>
      <c r="AU10" s="278" t="str">
        <f ca="1">IFERROR(IF(LEN(중요_시점[[#This Row],[일수]])=0,"",IF(AND(AU$5=$E10,$F10=1),중요_시점_표식,"")),"")</f>
        <v/>
      </c>
      <c r="AV10" s="278" t="str">
        <f ca="1">IFERROR(IF(LEN(중요_시점[[#This Row],[일수]])=0,"",IF(AND(AV$5=$E10,$F10=1),중요_시점_표식,"")),"")</f>
        <v/>
      </c>
      <c r="AW10" s="278" t="str">
        <f ca="1">IFERROR(IF(LEN(중요_시점[[#This Row],[일수]])=0,"",IF(AND(AW$5=$E10,$F10=1),중요_시점_표식,"")),"")</f>
        <v/>
      </c>
      <c r="AX10" s="278" t="str">
        <f ca="1">IFERROR(IF(LEN(중요_시점[[#This Row],[일수]])=0,"",IF(AND(AX$5=$E10,$F10=1),중요_시점_표식,"")),"")</f>
        <v/>
      </c>
      <c r="AY10" s="278" t="str">
        <f ca="1">IFERROR(IF(LEN(중요_시점[[#This Row],[일수]])=0,"",IF(AND(AY$5=$E10,$F10=1),중요_시점_표식,"")),"")</f>
        <v/>
      </c>
      <c r="AZ10" s="278" t="str">
        <f ca="1">IFERROR(IF(LEN(중요_시점[[#This Row],[일수]])=0,"",IF(AND(AZ$5=$E10,$F10=1),중요_시점_표식,"")),"")</f>
        <v/>
      </c>
      <c r="BA10" s="278" t="str">
        <f ca="1">IFERROR(IF(LEN(중요_시점[[#This Row],[일수]])=0,"",IF(AND(BA$5=$E10,$F10=1),중요_시점_표식,"")),"")</f>
        <v/>
      </c>
      <c r="BB10" s="278" t="str">
        <f ca="1">IFERROR(IF(LEN(중요_시점[[#This Row],[일수]])=0,"",IF(AND(BB$5=$E10,$F10=1),중요_시점_표식,"")),"")</f>
        <v/>
      </c>
      <c r="BC10" s="278" t="str">
        <f ca="1">IFERROR(IF(LEN(중요_시점[[#This Row],[일수]])=0,"",IF(AND(BC$5=$E10,$F10=1),중요_시점_표식,"")),"")</f>
        <v/>
      </c>
      <c r="BD10" s="278" t="str">
        <f ca="1">IFERROR(IF(LEN(중요_시점[[#This Row],[일수]])=0,"",IF(AND(BD$5=$E10,$F10=1),중요_시점_표식,"")),"")</f>
        <v/>
      </c>
      <c r="BE10" s="278" t="str">
        <f ca="1">IFERROR(IF(LEN(중요_시점[[#This Row],[일수]])=0,"",IF(AND(BE$5=$E10,$F10=1),중요_시점_표식,"")),"")</f>
        <v/>
      </c>
      <c r="BF10" s="278" t="str">
        <f ca="1">IFERROR(IF(LEN(중요_시점[[#This Row],[일수]])=0,"",IF(AND(BF$5=$E10,$F10=1),중요_시점_표식,"")),"")</f>
        <v/>
      </c>
      <c r="BG10" s="278" t="str">
        <f ca="1">IFERROR(IF(LEN(중요_시점[[#This Row],[일수]])=0,"",IF(AND(BG$5=$E10,$F10=1),중요_시점_표식,"")),"")</f>
        <v/>
      </c>
      <c r="BH10" s="278" t="str">
        <f ca="1">IFERROR(IF(LEN(중요_시점[[#This Row],[일수]])=0,"",IF(AND(BH$5=$E10,$F10=1),중요_시점_표식,"")),"")</f>
        <v/>
      </c>
      <c r="BI10" s="278" t="str">
        <f ca="1">IFERROR(IF(LEN(중요_시점[[#This Row],[일수]])=0,"",IF(AND(BI$5=$E10,$F10=1),중요_시점_표식,"")),"")</f>
        <v/>
      </c>
      <c r="BJ10" s="278" t="str">
        <f ca="1">IFERROR(IF(LEN(중요_시점[[#This Row],[일수]])=0,"",IF(AND(BJ$5=$E10,$F10=1),중요_시점_표식,"")),"")</f>
        <v/>
      </c>
      <c r="BK10" s="278" t="str">
        <f ca="1">IFERROR(IF(LEN(중요_시점[[#This Row],[일수]])=0,"",IF(AND(BK$5=$E10,$F10=1),중요_시점_표식,"")),"")</f>
        <v/>
      </c>
    </row>
    <row r="11" spans="1:63" s="279" customFormat="1" ht="30" customHeight="1">
      <c r="A11" s="271"/>
      <c r="B11" s="272" t="s">
        <v>1608</v>
      </c>
      <c r="C11" s="272"/>
      <c r="D11" s="256"/>
      <c r="E11" s="273">
        <f ca="1">TODAY()-3</f>
        <v>44511</v>
      </c>
      <c r="F11" s="274">
        <v>10</v>
      </c>
      <c r="G11" s="277"/>
      <c r="H11" s="278" t="str">
        <f ca="1">IFERROR(IF(LEN(중요_시점[[#This Row],[일수]])=0,"",IF(AND(H$5=$E11,$F11=1),중요_시점_표식,"")),"")</f>
        <v/>
      </c>
      <c r="I11" s="278" t="str">
        <f ca="1">IFERROR(IF(LEN(중요_시점[[#This Row],[일수]])=0,"",IF(AND(I$5=$E11,$F11=1),중요_시점_표식,"")),"")</f>
        <v/>
      </c>
      <c r="J11" s="278" t="str">
        <f ca="1">IFERROR(IF(LEN(중요_시점[[#This Row],[일수]])=0,"",IF(AND(J$5=$E11,$F11=1),중요_시점_표식,"")),"")</f>
        <v/>
      </c>
      <c r="K11" s="278" t="str">
        <f ca="1">IFERROR(IF(LEN(중요_시점[[#This Row],[일수]])=0,"",IF(AND(K$5=$E11,$F11=1),중요_시점_표식,"")),"")</f>
        <v/>
      </c>
      <c r="L11" s="278" t="str">
        <f ca="1">IFERROR(IF(LEN(중요_시점[[#This Row],[일수]])=0,"",IF(AND(L$5=$E11,$F11=1),중요_시점_표식,"")),"")</f>
        <v/>
      </c>
      <c r="M11" s="278" t="str">
        <f ca="1">IFERROR(IF(LEN(중요_시점[[#This Row],[일수]])=0,"",IF(AND(M$5=$E11,$F11=1),중요_시점_표식,"")),"")</f>
        <v/>
      </c>
      <c r="N11" s="278" t="str">
        <f ca="1">IFERROR(IF(LEN(중요_시점[[#This Row],[일수]])=0,"",IF(AND(N$5=$E11,$F11=1),중요_시점_표식,"")),"")</f>
        <v/>
      </c>
      <c r="O11" s="278" t="str">
        <f ca="1">IFERROR(IF(LEN(중요_시점[[#This Row],[일수]])=0,"",IF(AND(O$5=$E11,$F11=1),중요_시점_표식,"")),"")</f>
        <v/>
      </c>
      <c r="P11" s="278" t="str">
        <f ca="1">IFERROR(IF(LEN(중요_시점[[#This Row],[일수]])=0,"",IF(AND(P$5=$E11,$F11=1),중요_시점_표식,"")),"")</f>
        <v/>
      </c>
      <c r="Q11" s="278" t="str">
        <f ca="1">IFERROR(IF(LEN(중요_시점[[#This Row],[일수]])=0,"",IF(AND(Q$5=$E11,$F11=1),중요_시점_표식,"")),"")</f>
        <v/>
      </c>
      <c r="R11" s="278" t="str">
        <f ca="1">IFERROR(IF(LEN(중요_시점[[#This Row],[일수]])=0,"",IF(AND(R$5=$E11,$F11=1),중요_시점_표식,"")),"")</f>
        <v/>
      </c>
      <c r="S11" s="278" t="str">
        <f ca="1">IFERROR(IF(LEN(중요_시점[[#This Row],[일수]])=0,"",IF(AND(S$5=$E11,$F11=1),중요_시점_표식,"")),"")</f>
        <v/>
      </c>
      <c r="T11" s="278" t="str">
        <f ca="1">IFERROR(IF(LEN(중요_시점[[#This Row],[일수]])=0,"",IF(AND(T$5=$E11,$F11=1),중요_시점_표식,"")),"")</f>
        <v/>
      </c>
      <c r="U11" s="278" t="str">
        <f ca="1">IFERROR(IF(LEN(중요_시점[[#This Row],[일수]])=0,"",IF(AND(U$5=$E11,$F11=1),중요_시점_표식,"")),"")</f>
        <v/>
      </c>
      <c r="V11" s="278" t="str">
        <f ca="1">IFERROR(IF(LEN(중요_시점[[#This Row],[일수]])=0,"",IF(AND(V$5=$E11,$F11=1),중요_시점_표식,"")),"")</f>
        <v/>
      </c>
      <c r="W11" s="278" t="str">
        <f ca="1">IFERROR(IF(LEN(중요_시점[[#This Row],[일수]])=0,"",IF(AND(W$5=$E11,$F11=1),중요_시점_표식,"")),"")</f>
        <v/>
      </c>
      <c r="X11" s="278" t="str">
        <f ca="1">IFERROR(IF(LEN(중요_시점[[#This Row],[일수]])=0,"",IF(AND(X$5=$E11,$F11=1),중요_시점_표식,"")),"")</f>
        <v/>
      </c>
      <c r="Y11" s="278" t="str">
        <f ca="1">IFERROR(IF(LEN(중요_시점[[#This Row],[일수]])=0,"",IF(AND(Y$5=$E11,$F11=1),중요_시점_표식,"")),"")</f>
        <v/>
      </c>
      <c r="Z11" s="278" t="str">
        <f ca="1">IFERROR(IF(LEN(중요_시점[[#This Row],[일수]])=0,"",IF(AND(Z$5=$E11,$F11=1),중요_시점_표식,"")),"")</f>
        <v/>
      </c>
      <c r="AA11" s="278" t="str">
        <f ca="1">IFERROR(IF(LEN(중요_시점[[#This Row],[일수]])=0,"",IF(AND(AA$5=$E11,$F11=1),중요_시점_표식,"")),"")</f>
        <v/>
      </c>
      <c r="AB11" s="278" t="str">
        <f ca="1">IFERROR(IF(LEN(중요_시점[[#This Row],[일수]])=0,"",IF(AND(AB$5=$E11,$F11=1),중요_시점_표식,"")),"")</f>
        <v/>
      </c>
      <c r="AC11" s="278" t="str">
        <f ca="1">IFERROR(IF(LEN(중요_시점[[#This Row],[일수]])=0,"",IF(AND(AC$5=$E11,$F11=1),중요_시점_표식,"")),"")</f>
        <v/>
      </c>
      <c r="AD11" s="278" t="str">
        <f ca="1">IFERROR(IF(LEN(중요_시점[[#This Row],[일수]])=0,"",IF(AND(AD$5=$E11,$F11=1),중요_시점_표식,"")),"")</f>
        <v/>
      </c>
      <c r="AE11" s="278" t="str">
        <f ca="1">IFERROR(IF(LEN(중요_시점[[#This Row],[일수]])=0,"",IF(AND(AE$5=$E11,$F11=1),중요_시점_표식,"")),"")</f>
        <v/>
      </c>
      <c r="AF11" s="278" t="str">
        <f ca="1">IFERROR(IF(LEN(중요_시점[[#This Row],[일수]])=0,"",IF(AND(AF$5=$E11,$F11=1),중요_시점_표식,"")),"")</f>
        <v/>
      </c>
      <c r="AG11" s="278" t="str">
        <f ca="1">IFERROR(IF(LEN(중요_시점[[#This Row],[일수]])=0,"",IF(AND(AG$5=$E11,$F11=1),중요_시점_표식,"")),"")</f>
        <v/>
      </c>
      <c r="AH11" s="278" t="str">
        <f ca="1">IFERROR(IF(LEN(중요_시점[[#This Row],[일수]])=0,"",IF(AND(AH$5=$E11,$F11=1),중요_시점_표식,"")),"")</f>
        <v/>
      </c>
      <c r="AI11" s="278" t="str">
        <f ca="1">IFERROR(IF(LEN(중요_시점[[#This Row],[일수]])=0,"",IF(AND(AI$5=$E11,$F11=1),중요_시점_표식,"")),"")</f>
        <v/>
      </c>
      <c r="AJ11" s="278" t="str">
        <f ca="1">IFERROR(IF(LEN(중요_시점[[#This Row],[일수]])=0,"",IF(AND(AJ$5=$E11,$F11=1),중요_시점_표식,"")),"")</f>
        <v/>
      </c>
      <c r="AK11" s="278" t="str">
        <f ca="1">IFERROR(IF(LEN(중요_시점[[#This Row],[일수]])=0,"",IF(AND(AK$5=$E11,$F11=1),중요_시점_표식,"")),"")</f>
        <v/>
      </c>
      <c r="AL11" s="278" t="str">
        <f ca="1">IFERROR(IF(LEN(중요_시점[[#This Row],[일수]])=0,"",IF(AND(AL$5=$E11,$F11=1),중요_시점_표식,"")),"")</f>
        <v/>
      </c>
      <c r="AM11" s="278" t="str">
        <f ca="1">IFERROR(IF(LEN(중요_시점[[#This Row],[일수]])=0,"",IF(AND(AM$5=$E11,$F11=1),중요_시점_표식,"")),"")</f>
        <v/>
      </c>
      <c r="AN11" s="278" t="str">
        <f ca="1">IFERROR(IF(LEN(중요_시점[[#This Row],[일수]])=0,"",IF(AND(AN$5=$E11,$F11=1),중요_시점_표식,"")),"")</f>
        <v/>
      </c>
      <c r="AO11" s="278" t="str">
        <f ca="1">IFERROR(IF(LEN(중요_시점[[#This Row],[일수]])=0,"",IF(AND(AO$5=$E11,$F11=1),중요_시점_표식,"")),"")</f>
        <v/>
      </c>
      <c r="AP11" s="278" t="str">
        <f ca="1">IFERROR(IF(LEN(중요_시점[[#This Row],[일수]])=0,"",IF(AND(AP$5=$E11,$F11=1),중요_시점_표식,"")),"")</f>
        <v/>
      </c>
      <c r="AQ11" s="278" t="str">
        <f ca="1">IFERROR(IF(LEN(중요_시점[[#This Row],[일수]])=0,"",IF(AND(AQ$5=$E11,$F11=1),중요_시점_표식,"")),"")</f>
        <v/>
      </c>
      <c r="AR11" s="278" t="str">
        <f ca="1">IFERROR(IF(LEN(중요_시점[[#This Row],[일수]])=0,"",IF(AND(AR$5=$E11,$F11=1),중요_시점_표식,"")),"")</f>
        <v/>
      </c>
      <c r="AS11" s="278" t="str">
        <f ca="1">IFERROR(IF(LEN(중요_시점[[#This Row],[일수]])=0,"",IF(AND(AS$5=$E11,$F11=1),중요_시점_표식,"")),"")</f>
        <v/>
      </c>
      <c r="AT11" s="278" t="str">
        <f ca="1">IFERROR(IF(LEN(중요_시점[[#This Row],[일수]])=0,"",IF(AND(AT$5=$E11,$F11=1),중요_시점_표식,"")),"")</f>
        <v/>
      </c>
      <c r="AU11" s="278" t="str">
        <f ca="1">IFERROR(IF(LEN(중요_시점[[#This Row],[일수]])=0,"",IF(AND(AU$5=$E11,$F11=1),중요_시점_표식,"")),"")</f>
        <v/>
      </c>
      <c r="AV11" s="278" t="str">
        <f ca="1">IFERROR(IF(LEN(중요_시점[[#This Row],[일수]])=0,"",IF(AND(AV$5=$E11,$F11=1),중요_시점_표식,"")),"")</f>
        <v/>
      </c>
      <c r="AW11" s="278" t="str">
        <f ca="1">IFERROR(IF(LEN(중요_시점[[#This Row],[일수]])=0,"",IF(AND(AW$5=$E11,$F11=1),중요_시점_표식,"")),"")</f>
        <v/>
      </c>
      <c r="AX11" s="278" t="str">
        <f ca="1">IFERROR(IF(LEN(중요_시점[[#This Row],[일수]])=0,"",IF(AND(AX$5=$E11,$F11=1),중요_시점_표식,"")),"")</f>
        <v/>
      </c>
      <c r="AY11" s="278" t="str">
        <f ca="1">IFERROR(IF(LEN(중요_시점[[#This Row],[일수]])=0,"",IF(AND(AY$5=$E11,$F11=1),중요_시점_표식,"")),"")</f>
        <v/>
      </c>
      <c r="AZ11" s="278" t="str">
        <f ca="1">IFERROR(IF(LEN(중요_시점[[#This Row],[일수]])=0,"",IF(AND(AZ$5=$E11,$F11=1),중요_시점_표식,"")),"")</f>
        <v/>
      </c>
      <c r="BA11" s="278" t="str">
        <f ca="1">IFERROR(IF(LEN(중요_시점[[#This Row],[일수]])=0,"",IF(AND(BA$5=$E11,$F11=1),중요_시점_표식,"")),"")</f>
        <v/>
      </c>
      <c r="BB11" s="278" t="str">
        <f ca="1">IFERROR(IF(LEN(중요_시점[[#This Row],[일수]])=0,"",IF(AND(BB$5=$E11,$F11=1),중요_시점_표식,"")),"")</f>
        <v/>
      </c>
      <c r="BC11" s="278" t="str">
        <f ca="1">IFERROR(IF(LEN(중요_시점[[#This Row],[일수]])=0,"",IF(AND(BC$5=$E11,$F11=1),중요_시점_표식,"")),"")</f>
        <v/>
      </c>
      <c r="BD11" s="278" t="str">
        <f ca="1">IFERROR(IF(LEN(중요_시점[[#This Row],[일수]])=0,"",IF(AND(BD$5=$E11,$F11=1),중요_시점_표식,"")),"")</f>
        <v/>
      </c>
      <c r="BE11" s="278" t="str">
        <f ca="1">IFERROR(IF(LEN(중요_시점[[#This Row],[일수]])=0,"",IF(AND(BE$5=$E11,$F11=1),중요_시점_표식,"")),"")</f>
        <v/>
      </c>
      <c r="BF11" s="278" t="str">
        <f ca="1">IFERROR(IF(LEN(중요_시점[[#This Row],[일수]])=0,"",IF(AND(BF$5=$E11,$F11=1),중요_시점_표식,"")),"")</f>
        <v/>
      </c>
      <c r="BG11" s="278" t="str">
        <f ca="1">IFERROR(IF(LEN(중요_시점[[#This Row],[일수]])=0,"",IF(AND(BG$5=$E11,$F11=1),중요_시점_표식,"")),"")</f>
        <v/>
      </c>
      <c r="BH11" s="278" t="str">
        <f ca="1">IFERROR(IF(LEN(중요_시점[[#This Row],[일수]])=0,"",IF(AND(BH$5=$E11,$F11=1),중요_시점_표식,"")),"")</f>
        <v/>
      </c>
      <c r="BI11" s="278" t="str">
        <f ca="1">IFERROR(IF(LEN(중요_시점[[#This Row],[일수]])=0,"",IF(AND(BI$5=$E11,$F11=1),중요_시점_표식,"")),"")</f>
        <v/>
      </c>
      <c r="BJ11" s="278" t="str">
        <f ca="1">IFERROR(IF(LEN(중요_시점[[#This Row],[일수]])=0,"",IF(AND(BJ$5=$E11,$F11=1),중요_시점_표식,"")),"")</f>
        <v/>
      </c>
      <c r="BK11" s="278" t="str">
        <f ca="1">IFERROR(IF(LEN(중요_시점[[#This Row],[일수]])=0,"",IF(AND(BK$5=$E11,$F11=1),중요_시점_표식,"")),"")</f>
        <v/>
      </c>
    </row>
    <row r="12" spans="1:63" s="279" customFormat="1" ht="30" customHeight="1">
      <c r="A12" s="271"/>
      <c r="B12" s="272" t="s">
        <v>1609</v>
      </c>
      <c r="C12" s="272"/>
      <c r="D12" s="256"/>
      <c r="E12" s="273">
        <f ca="1">TODAY()+20</f>
        <v>44534</v>
      </c>
      <c r="F12" s="274">
        <v>1</v>
      </c>
      <c r="G12" s="277"/>
      <c r="H12" s="278" t="str">
        <f ca="1">IFERROR(IF(LEN(중요_시점[[#This Row],[일수]])=0,"",IF(AND(H$5=$E12,$F12=1),중요_시점_표식,"")),"")</f>
        <v/>
      </c>
      <c r="I12" s="278" t="str">
        <f ca="1">IFERROR(IF(LEN(중요_시점[[#This Row],[일수]])=0,"",IF(AND(I$5=$E12,$F12=1),중요_시점_표식,"")),"")</f>
        <v/>
      </c>
      <c r="J12" s="278" t="str">
        <f ca="1">IFERROR(IF(LEN(중요_시점[[#This Row],[일수]])=0,"",IF(AND(J$5=$E12,$F12=1),중요_시점_표식,"")),"")</f>
        <v/>
      </c>
      <c r="K12" s="278" t="str">
        <f ca="1">IFERROR(IF(LEN(중요_시점[[#This Row],[일수]])=0,"",IF(AND(K$5=$E12,$F12=1),중요_시점_표식,"")),"")</f>
        <v/>
      </c>
      <c r="L12" s="278" t="str">
        <f ca="1">IFERROR(IF(LEN(중요_시점[[#This Row],[일수]])=0,"",IF(AND(L$5=$E12,$F12=1),중요_시점_표식,"")),"")</f>
        <v/>
      </c>
      <c r="M12" s="278" t="str">
        <f ca="1">IFERROR(IF(LEN(중요_시점[[#This Row],[일수]])=0,"",IF(AND(M$5=$E12,$F12=1),중요_시점_표식,"")),"")</f>
        <v/>
      </c>
      <c r="N12" s="278" t="str">
        <f ca="1">IFERROR(IF(LEN(중요_시점[[#This Row],[일수]])=0,"",IF(AND(N$5=$E12,$F12=1),중요_시점_표식,"")),"")</f>
        <v/>
      </c>
      <c r="O12" s="278" t="str">
        <f ca="1">IFERROR(IF(LEN(중요_시점[[#This Row],[일수]])=0,"",IF(AND(O$5=$E12,$F12=1),중요_시점_표식,"")),"")</f>
        <v/>
      </c>
      <c r="P12" s="278" t="str">
        <f ca="1">IFERROR(IF(LEN(중요_시점[[#This Row],[일수]])=0,"",IF(AND(P$5=$E12,$F12=1),중요_시점_표식,"")),"")</f>
        <v/>
      </c>
      <c r="Q12" s="278" t="str">
        <f ca="1">IFERROR(IF(LEN(중요_시점[[#This Row],[일수]])=0,"",IF(AND(Q$5=$E12,$F12=1),중요_시점_표식,"")),"")</f>
        <v/>
      </c>
      <c r="R12" s="278" t="str">
        <f ca="1">IFERROR(IF(LEN(중요_시점[[#This Row],[일수]])=0,"",IF(AND(R$5=$E12,$F12=1),중요_시점_표식,"")),"")</f>
        <v/>
      </c>
      <c r="S12" s="278" t="str">
        <f ca="1">IFERROR(IF(LEN(중요_시점[[#This Row],[일수]])=0,"",IF(AND(S$5=$E12,$F12=1),중요_시점_표식,"")),"")</f>
        <v/>
      </c>
      <c r="T12" s="278" t="str">
        <f ca="1">IFERROR(IF(LEN(중요_시점[[#This Row],[일수]])=0,"",IF(AND(T$5=$E12,$F12=1),중요_시점_표식,"")),"")</f>
        <v/>
      </c>
      <c r="U12" s="278">
        <f ca="1">IFERROR(IF(LEN(중요_시점[[#This Row],[일수]])=0,"",IF(AND(U$5=$E12,$F12=1),중요_시점_표식,"")),"")</f>
        <v>1</v>
      </c>
      <c r="V12" s="278" t="str">
        <f ca="1">IFERROR(IF(LEN(중요_시점[[#This Row],[일수]])=0,"",IF(AND(V$5=$E12,$F12=1),중요_시점_표식,"")),"")</f>
        <v/>
      </c>
      <c r="W12" s="278" t="str">
        <f ca="1">IFERROR(IF(LEN(중요_시점[[#This Row],[일수]])=0,"",IF(AND(W$5=$E12,$F12=1),중요_시점_표식,"")),"")</f>
        <v/>
      </c>
      <c r="X12" s="278" t="str">
        <f ca="1">IFERROR(IF(LEN(중요_시점[[#This Row],[일수]])=0,"",IF(AND(X$5=$E12,$F12=1),중요_시점_표식,"")),"")</f>
        <v/>
      </c>
      <c r="Y12" s="278" t="str">
        <f ca="1">IFERROR(IF(LEN(중요_시점[[#This Row],[일수]])=0,"",IF(AND(Y$5=$E12,$F12=1),중요_시점_표식,"")),"")</f>
        <v/>
      </c>
      <c r="Z12" s="278" t="str">
        <f ca="1">IFERROR(IF(LEN(중요_시점[[#This Row],[일수]])=0,"",IF(AND(Z$5=$E12,$F12=1),중요_시점_표식,"")),"")</f>
        <v/>
      </c>
      <c r="AA12" s="278" t="str">
        <f ca="1">IFERROR(IF(LEN(중요_시점[[#This Row],[일수]])=0,"",IF(AND(AA$5=$E12,$F12=1),중요_시점_표식,"")),"")</f>
        <v/>
      </c>
      <c r="AB12" s="278" t="str">
        <f ca="1">IFERROR(IF(LEN(중요_시점[[#This Row],[일수]])=0,"",IF(AND(AB$5=$E12,$F12=1),중요_시점_표식,"")),"")</f>
        <v/>
      </c>
      <c r="AC12" s="278" t="str">
        <f ca="1">IFERROR(IF(LEN(중요_시점[[#This Row],[일수]])=0,"",IF(AND(AC$5=$E12,$F12=1),중요_시점_표식,"")),"")</f>
        <v/>
      </c>
      <c r="AD12" s="278" t="str">
        <f ca="1">IFERROR(IF(LEN(중요_시점[[#This Row],[일수]])=0,"",IF(AND(AD$5=$E12,$F12=1),중요_시점_표식,"")),"")</f>
        <v/>
      </c>
      <c r="AE12" s="278" t="str">
        <f ca="1">IFERROR(IF(LEN(중요_시점[[#This Row],[일수]])=0,"",IF(AND(AE$5=$E12,$F12=1),중요_시점_표식,"")),"")</f>
        <v/>
      </c>
      <c r="AF12" s="278" t="str">
        <f ca="1">IFERROR(IF(LEN(중요_시점[[#This Row],[일수]])=0,"",IF(AND(AF$5=$E12,$F12=1),중요_시점_표식,"")),"")</f>
        <v/>
      </c>
      <c r="AG12" s="278" t="str">
        <f ca="1">IFERROR(IF(LEN(중요_시점[[#This Row],[일수]])=0,"",IF(AND(AG$5=$E12,$F12=1),중요_시점_표식,"")),"")</f>
        <v/>
      </c>
      <c r="AH12" s="278" t="str">
        <f ca="1">IFERROR(IF(LEN(중요_시점[[#This Row],[일수]])=0,"",IF(AND(AH$5=$E12,$F12=1),중요_시점_표식,"")),"")</f>
        <v/>
      </c>
      <c r="AI12" s="278" t="str">
        <f ca="1">IFERROR(IF(LEN(중요_시점[[#This Row],[일수]])=0,"",IF(AND(AI$5=$E12,$F12=1),중요_시점_표식,"")),"")</f>
        <v/>
      </c>
      <c r="AJ12" s="278" t="str">
        <f ca="1">IFERROR(IF(LEN(중요_시점[[#This Row],[일수]])=0,"",IF(AND(AJ$5=$E12,$F12=1),중요_시점_표식,"")),"")</f>
        <v/>
      </c>
      <c r="AK12" s="278" t="str">
        <f ca="1">IFERROR(IF(LEN(중요_시점[[#This Row],[일수]])=0,"",IF(AND(AK$5=$E12,$F12=1),중요_시점_표식,"")),"")</f>
        <v/>
      </c>
      <c r="AL12" s="278" t="str">
        <f ca="1">IFERROR(IF(LEN(중요_시점[[#This Row],[일수]])=0,"",IF(AND(AL$5=$E12,$F12=1),중요_시점_표식,"")),"")</f>
        <v/>
      </c>
      <c r="AM12" s="278" t="str">
        <f ca="1">IFERROR(IF(LEN(중요_시점[[#This Row],[일수]])=0,"",IF(AND(AM$5=$E12,$F12=1),중요_시점_표식,"")),"")</f>
        <v/>
      </c>
      <c r="AN12" s="278" t="str">
        <f ca="1">IFERROR(IF(LEN(중요_시점[[#This Row],[일수]])=0,"",IF(AND(AN$5=$E12,$F12=1),중요_시점_표식,"")),"")</f>
        <v/>
      </c>
      <c r="AO12" s="278" t="str">
        <f ca="1">IFERROR(IF(LEN(중요_시점[[#This Row],[일수]])=0,"",IF(AND(AO$5=$E12,$F12=1),중요_시점_표식,"")),"")</f>
        <v/>
      </c>
      <c r="AP12" s="278" t="str">
        <f ca="1">IFERROR(IF(LEN(중요_시점[[#This Row],[일수]])=0,"",IF(AND(AP$5=$E12,$F12=1),중요_시점_표식,"")),"")</f>
        <v/>
      </c>
      <c r="AQ12" s="278" t="str">
        <f ca="1">IFERROR(IF(LEN(중요_시점[[#This Row],[일수]])=0,"",IF(AND(AQ$5=$E12,$F12=1),중요_시점_표식,"")),"")</f>
        <v/>
      </c>
      <c r="AR12" s="278" t="str">
        <f ca="1">IFERROR(IF(LEN(중요_시점[[#This Row],[일수]])=0,"",IF(AND(AR$5=$E12,$F12=1),중요_시점_표식,"")),"")</f>
        <v/>
      </c>
      <c r="AS12" s="278" t="str">
        <f ca="1">IFERROR(IF(LEN(중요_시점[[#This Row],[일수]])=0,"",IF(AND(AS$5=$E12,$F12=1),중요_시점_표식,"")),"")</f>
        <v/>
      </c>
      <c r="AT12" s="278" t="str">
        <f ca="1">IFERROR(IF(LEN(중요_시점[[#This Row],[일수]])=0,"",IF(AND(AT$5=$E12,$F12=1),중요_시점_표식,"")),"")</f>
        <v/>
      </c>
      <c r="AU12" s="278" t="str">
        <f ca="1">IFERROR(IF(LEN(중요_시점[[#This Row],[일수]])=0,"",IF(AND(AU$5=$E12,$F12=1),중요_시점_표식,"")),"")</f>
        <v/>
      </c>
      <c r="AV12" s="278" t="str">
        <f ca="1">IFERROR(IF(LEN(중요_시점[[#This Row],[일수]])=0,"",IF(AND(AV$5=$E12,$F12=1),중요_시점_표식,"")),"")</f>
        <v/>
      </c>
      <c r="AW12" s="278" t="str">
        <f ca="1">IFERROR(IF(LEN(중요_시점[[#This Row],[일수]])=0,"",IF(AND(AW$5=$E12,$F12=1),중요_시점_표식,"")),"")</f>
        <v/>
      </c>
      <c r="AX12" s="278" t="str">
        <f ca="1">IFERROR(IF(LEN(중요_시점[[#This Row],[일수]])=0,"",IF(AND(AX$5=$E12,$F12=1),중요_시점_표식,"")),"")</f>
        <v/>
      </c>
      <c r="AY12" s="278" t="str">
        <f ca="1">IFERROR(IF(LEN(중요_시점[[#This Row],[일수]])=0,"",IF(AND(AY$5=$E12,$F12=1),중요_시점_표식,"")),"")</f>
        <v/>
      </c>
      <c r="AZ12" s="278" t="str">
        <f ca="1">IFERROR(IF(LEN(중요_시점[[#This Row],[일수]])=0,"",IF(AND(AZ$5=$E12,$F12=1),중요_시점_표식,"")),"")</f>
        <v/>
      </c>
      <c r="BA12" s="278" t="str">
        <f ca="1">IFERROR(IF(LEN(중요_시점[[#This Row],[일수]])=0,"",IF(AND(BA$5=$E12,$F12=1),중요_시점_표식,"")),"")</f>
        <v/>
      </c>
      <c r="BB12" s="278" t="str">
        <f ca="1">IFERROR(IF(LEN(중요_시점[[#This Row],[일수]])=0,"",IF(AND(BB$5=$E12,$F12=1),중요_시점_표식,"")),"")</f>
        <v/>
      </c>
      <c r="BC12" s="278" t="str">
        <f ca="1">IFERROR(IF(LEN(중요_시점[[#This Row],[일수]])=0,"",IF(AND(BC$5=$E12,$F12=1),중요_시점_표식,"")),"")</f>
        <v/>
      </c>
      <c r="BD12" s="278" t="str">
        <f ca="1">IFERROR(IF(LEN(중요_시점[[#This Row],[일수]])=0,"",IF(AND(BD$5=$E12,$F12=1),중요_시점_표식,"")),"")</f>
        <v/>
      </c>
      <c r="BE12" s="278" t="str">
        <f ca="1">IFERROR(IF(LEN(중요_시점[[#This Row],[일수]])=0,"",IF(AND(BE$5=$E12,$F12=1),중요_시점_표식,"")),"")</f>
        <v/>
      </c>
      <c r="BF12" s="278" t="str">
        <f ca="1">IFERROR(IF(LEN(중요_시점[[#This Row],[일수]])=0,"",IF(AND(BF$5=$E12,$F12=1),중요_시점_표식,"")),"")</f>
        <v/>
      </c>
      <c r="BG12" s="278" t="str">
        <f ca="1">IFERROR(IF(LEN(중요_시점[[#This Row],[일수]])=0,"",IF(AND(BG$5=$E12,$F12=1),중요_시점_표식,"")),"")</f>
        <v/>
      </c>
      <c r="BH12" s="278" t="str">
        <f ca="1">IFERROR(IF(LEN(중요_시점[[#This Row],[일수]])=0,"",IF(AND(BH$5=$E12,$F12=1),중요_시점_표식,"")),"")</f>
        <v/>
      </c>
      <c r="BI12" s="278" t="str">
        <f ca="1">IFERROR(IF(LEN(중요_시점[[#This Row],[일수]])=0,"",IF(AND(BI$5=$E12,$F12=1),중요_시점_표식,"")),"")</f>
        <v/>
      </c>
      <c r="BJ12" s="278" t="str">
        <f ca="1">IFERROR(IF(LEN(중요_시점[[#This Row],[일수]])=0,"",IF(AND(BJ$5=$E12,$F12=1),중요_시점_표식,"")),"")</f>
        <v/>
      </c>
      <c r="BK12" s="278" t="str">
        <f ca="1">IFERROR(IF(LEN(중요_시점[[#This Row],[일수]])=0,"",IF(AND(BK$5=$E12,$F12=1),중요_시점_표식,"")),"")</f>
        <v/>
      </c>
    </row>
    <row r="13" spans="1:63" s="279" customFormat="1" ht="30" customHeight="1">
      <c r="A13" s="271"/>
      <c r="B13" s="272" t="s">
        <v>1610</v>
      </c>
      <c r="C13" s="272"/>
      <c r="D13" s="256"/>
      <c r="E13" s="273">
        <f ca="1">TODAY()+6</f>
        <v>44520</v>
      </c>
      <c r="F13" s="274">
        <v>6</v>
      </c>
      <c r="G13" s="277"/>
      <c r="H13" s="278" t="str">
        <f ca="1">IFERROR(IF(LEN(중요_시점[[#This Row],[일수]])=0,"",IF(AND(H$5=$E13,$F13=1),중요_시점_표식,"")),"")</f>
        <v/>
      </c>
      <c r="I13" s="278" t="str">
        <f ca="1">IFERROR(IF(LEN(중요_시점[[#This Row],[일수]])=0,"",IF(AND(I$5=$E13,$F13=1),중요_시점_표식,"")),"")</f>
        <v/>
      </c>
      <c r="J13" s="278" t="str">
        <f ca="1">IFERROR(IF(LEN(중요_시점[[#This Row],[일수]])=0,"",IF(AND(J$5=$E13,$F13=1),중요_시점_표식,"")),"")</f>
        <v/>
      </c>
      <c r="K13" s="278" t="str">
        <f ca="1">IFERROR(IF(LEN(중요_시점[[#This Row],[일수]])=0,"",IF(AND(K$5=$E13,$F13=1),중요_시점_표식,"")),"")</f>
        <v/>
      </c>
      <c r="L13" s="278" t="str">
        <f ca="1">IFERROR(IF(LEN(중요_시점[[#This Row],[일수]])=0,"",IF(AND(L$5=$E13,$F13=1),중요_시점_표식,"")),"")</f>
        <v/>
      </c>
      <c r="M13" s="278" t="str">
        <f ca="1">IFERROR(IF(LEN(중요_시점[[#This Row],[일수]])=0,"",IF(AND(M$5=$E13,$F13=1),중요_시점_표식,"")),"")</f>
        <v/>
      </c>
      <c r="N13" s="278" t="str">
        <f ca="1">IFERROR(IF(LEN(중요_시점[[#This Row],[일수]])=0,"",IF(AND(N$5=$E13,$F13=1),중요_시점_표식,"")),"")</f>
        <v/>
      </c>
      <c r="O13" s="278" t="str">
        <f ca="1">IFERROR(IF(LEN(중요_시점[[#This Row],[일수]])=0,"",IF(AND(O$5=$E13,$F13=1),중요_시점_표식,"")),"")</f>
        <v/>
      </c>
      <c r="P13" s="278" t="str">
        <f ca="1">IFERROR(IF(LEN(중요_시점[[#This Row],[일수]])=0,"",IF(AND(P$5=$E13,$F13=1),중요_시점_표식,"")),"")</f>
        <v/>
      </c>
      <c r="Q13" s="278" t="str">
        <f ca="1">IFERROR(IF(LEN(중요_시점[[#This Row],[일수]])=0,"",IF(AND(Q$5=$E13,$F13=1),중요_시점_표식,"")),"")</f>
        <v/>
      </c>
      <c r="R13" s="278" t="str">
        <f ca="1">IFERROR(IF(LEN(중요_시점[[#This Row],[일수]])=0,"",IF(AND(R$5=$E13,$F13=1),중요_시점_표식,"")),"")</f>
        <v/>
      </c>
      <c r="S13" s="278" t="str">
        <f ca="1">IFERROR(IF(LEN(중요_시점[[#This Row],[일수]])=0,"",IF(AND(S$5=$E13,$F13=1),중요_시점_표식,"")),"")</f>
        <v/>
      </c>
      <c r="T13" s="278" t="str">
        <f ca="1">IFERROR(IF(LEN(중요_시점[[#This Row],[일수]])=0,"",IF(AND(T$5=$E13,$F13=1),중요_시점_표식,"")),"")</f>
        <v/>
      </c>
      <c r="U13" s="278" t="str">
        <f ca="1">IFERROR(IF(LEN(중요_시점[[#This Row],[일수]])=0,"",IF(AND(U$5=$E13,$F13=1),중요_시점_표식,"")),"")</f>
        <v/>
      </c>
      <c r="V13" s="278" t="str">
        <f ca="1">IFERROR(IF(LEN(중요_시점[[#This Row],[일수]])=0,"",IF(AND(V$5=$E13,$F13=1),중요_시점_표식,"")),"")</f>
        <v/>
      </c>
      <c r="W13" s="278" t="str">
        <f ca="1">IFERROR(IF(LEN(중요_시점[[#This Row],[일수]])=0,"",IF(AND(W$5=$E13,$F13=1),중요_시점_표식,"")),"")</f>
        <v/>
      </c>
      <c r="X13" s="278" t="str">
        <f ca="1">IFERROR(IF(LEN(중요_시점[[#This Row],[일수]])=0,"",IF(AND(X$5=$E13,$F13=1),중요_시점_표식,"")),"")</f>
        <v/>
      </c>
      <c r="Y13" s="278" t="str">
        <f ca="1">IFERROR(IF(LEN(중요_시점[[#This Row],[일수]])=0,"",IF(AND(Y$5=$E13,$F13=1),중요_시점_표식,"")),"")</f>
        <v/>
      </c>
      <c r="Z13" s="278" t="str">
        <f ca="1">IFERROR(IF(LEN(중요_시점[[#This Row],[일수]])=0,"",IF(AND(Z$5=$E13,$F13=1),중요_시점_표식,"")),"")</f>
        <v/>
      </c>
      <c r="AA13" s="278" t="str">
        <f ca="1">IFERROR(IF(LEN(중요_시점[[#This Row],[일수]])=0,"",IF(AND(AA$5=$E13,$F13=1),중요_시점_표식,"")),"")</f>
        <v/>
      </c>
      <c r="AB13" s="278" t="str">
        <f ca="1">IFERROR(IF(LEN(중요_시점[[#This Row],[일수]])=0,"",IF(AND(AB$5=$E13,$F13=1),중요_시점_표식,"")),"")</f>
        <v/>
      </c>
      <c r="AC13" s="278" t="str">
        <f ca="1">IFERROR(IF(LEN(중요_시점[[#This Row],[일수]])=0,"",IF(AND(AC$5=$E13,$F13=1),중요_시점_표식,"")),"")</f>
        <v/>
      </c>
      <c r="AD13" s="278" t="str">
        <f ca="1">IFERROR(IF(LEN(중요_시점[[#This Row],[일수]])=0,"",IF(AND(AD$5=$E13,$F13=1),중요_시점_표식,"")),"")</f>
        <v/>
      </c>
      <c r="AE13" s="278" t="str">
        <f ca="1">IFERROR(IF(LEN(중요_시점[[#This Row],[일수]])=0,"",IF(AND(AE$5=$E13,$F13=1),중요_시점_표식,"")),"")</f>
        <v/>
      </c>
      <c r="AF13" s="278" t="str">
        <f ca="1">IFERROR(IF(LEN(중요_시점[[#This Row],[일수]])=0,"",IF(AND(AF$5=$E13,$F13=1),중요_시점_표식,"")),"")</f>
        <v/>
      </c>
      <c r="AG13" s="278" t="str">
        <f ca="1">IFERROR(IF(LEN(중요_시점[[#This Row],[일수]])=0,"",IF(AND(AG$5=$E13,$F13=1),중요_시점_표식,"")),"")</f>
        <v/>
      </c>
      <c r="AH13" s="278" t="str">
        <f ca="1">IFERROR(IF(LEN(중요_시점[[#This Row],[일수]])=0,"",IF(AND(AH$5=$E13,$F13=1),중요_시점_표식,"")),"")</f>
        <v/>
      </c>
      <c r="AI13" s="278" t="str">
        <f ca="1">IFERROR(IF(LEN(중요_시점[[#This Row],[일수]])=0,"",IF(AND(AI$5=$E13,$F13=1),중요_시점_표식,"")),"")</f>
        <v/>
      </c>
      <c r="AJ13" s="278" t="str">
        <f ca="1">IFERROR(IF(LEN(중요_시점[[#This Row],[일수]])=0,"",IF(AND(AJ$5=$E13,$F13=1),중요_시점_표식,"")),"")</f>
        <v/>
      </c>
      <c r="AK13" s="278" t="str">
        <f ca="1">IFERROR(IF(LEN(중요_시점[[#This Row],[일수]])=0,"",IF(AND(AK$5=$E13,$F13=1),중요_시점_표식,"")),"")</f>
        <v/>
      </c>
      <c r="AL13" s="278" t="str">
        <f ca="1">IFERROR(IF(LEN(중요_시점[[#This Row],[일수]])=0,"",IF(AND(AL$5=$E13,$F13=1),중요_시점_표식,"")),"")</f>
        <v/>
      </c>
      <c r="AM13" s="278" t="str">
        <f ca="1">IFERROR(IF(LEN(중요_시점[[#This Row],[일수]])=0,"",IF(AND(AM$5=$E13,$F13=1),중요_시점_표식,"")),"")</f>
        <v/>
      </c>
      <c r="AN13" s="278" t="str">
        <f ca="1">IFERROR(IF(LEN(중요_시점[[#This Row],[일수]])=0,"",IF(AND(AN$5=$E13,$F13=1),중요_시점_표식,"")),"")</f>
        <v/>
      </c>
      <c r="AO13" s="278" t="str">
        <f ca="1">IFERROR(IF(LEN(중요_시점[[#This Row],[일수]])=0,"",IF(AND(AO$5=$E13,$F13=1),중요_시점_표식,"")),"")</f>
        <v/>
      </c>
      <c r="AP13" s="278" t="str">
        <f ca="1">IFERROR(IF(LEN(중요_시점[[#This Row],[일수]])=0,"",IF(AND(AP$5=$E13,$F13=1),중요_시점_표식,"")),"")</f>
        <v/>
      </c>
      <c r="AQ13" s="278" t="str">
        <f ca="1">IFERROR(IF(LEN(중요_시점[[#This Row],[일수]])=0,"",IF(AND(AQ$5=$E13,$F13=1),중요_시점_표식,"")),"")</f>
        <v/>
      </c>
      <c r="AR13" s="278" t="str">
        <f ca="1">IFERROR(IF(LEN(중요_시점[[#This Row],[일수]])=0,"",IF(AND(AR$5=$E13,$F13=1),중요_시점_표식,"")),"")</f>
        <v/>
      </c>
      <c r="AS13" s="278" t="str">
        <f ca="1">IFERROR(IF(LEN(중요_시점[[#This Row],[일수]])=0,"",IF(AND(AS$5=$E13,$F13=1),중요_시점_표식,"")),"")</f>
        <v/>
      </c>
      <c r="AT13" s="278" t="str">
        <f ca="1">IFERROR(IF(LEN(중요_시점[[#This Row],[일수]])=0,"",IF(AND(AT$5=$E13,$F13=1),중요_시점_표식,"")),"")</f>
        <v/>
      </c>
      <c r="AU13" s="278" t="str">
        <f ca="1">IFERROR(IF(LEN(중요_시점[[#This Row],[일수]])=0,"",IF(AND(AU$5=$E13,$F13=1),중요_시점_표식,"")),"")</f>
        <v/>
      </c>
      <c r="AV13" s="278" t="str">
        <f ca="1">IFERROR(IF(LEN(중요_시점[[#This Row],[일수]])=0,"",IF(AND(AV$5=$E13,$F13=1),중요_시점_표식,"")),"")</f>
        <v/>
      </c>
      <c r="AW13" s="278" t="str">
        <f ca="1">IFERROR(IF(LEN(중요_시점[[#This Row],[일수]])=0,"",IF(AND(AW$5=$E13,$F13=1),중요_시점_표식,"")),"")</f>
        <v/>
      </c>
      <c r="AX13" s="278" t="str">
        <f ca="1">IFERROR(IF(LEN(중요_시점[[#This Row],[일수]])=0,"",IF(AND(AX$5=$E13,$F13=1),중요_시점_표식,"")),"")</f>
        <v/>
      </c>
      <c r="AY13" s="278" t="str">
        <f ca="1">IFERROR(IF(LEN(중요_시점[[#This Row],[일수]])=0,"",IF(AND(AY$5=$E13,$F13=1),중요_시점_표식,"")),"")</f>
        <v/>
      </c>
      <c r="AZ13" s="278" t="str">
        <f ca="1">IFERROR(IF(LEN(중요_시점[[#This Row],[일수]])=0,"",IF(AND(AZ$5=$E13,$F13=1),중요_시점_표식,"")),"")</f>
        <v/>
      </c>
      <c r="BA13" s="278" t="str">
        <f ca="1">IFERROR(IF(LEN(중요_시점[[#This Row],[일수]])=0,"",IF(AND(BA$5=$E13,$F13=1),중요_시점_표식,"")),"")</f>
        <v/>
      </c>
      <c r="BB13" s="278" t="str">
        <f ca="1">IFERROR(IF(LEN(중요_시점[[#This Row],[일수]])=0,"",IF(AND(BB$5=$E13,$F13=1),중요_시점_표식,"")),"")</f>
        <v/>
      </c>
      <c r="BC13" s="278" t="str">
        <f ca="1">IFERROR(IF(LEN(중요_시점[[#This Row],[일수]])=0,"",IF(AND(BC$5=$E13,$F13=1),중요_시점_표식,"")),"")</f>
        <v/>
      </c>
      <c r="BD13" s="278" t="str">
        <f ca="1">IFERROR(IF(LEN(중요_시점[[#This Row],[일수]])=0,"",IF(AND(BD$5=$E13,$F13=1),중요_시점_표식,"")),"")</f>
        <v/>
      </c>
      <c r="BE13" s="278" t="str">
        <f ca="1">IFERROR(IF(LEN(중요_시점[[#This Row],[일수]])=0,"",IF(AND(BE$5=$E13,$F13=1),중요_시점_표식,"")),"")</f>
        <v/>
      </c>
      <c r="BF13" s="278" t="str">
        <f ca="1">IFERROR(IF(LEN(중요_시점[[#This Row],[일수]])=0,"",IF(AND(BF$5=$E13,$F13=1),중요_시점_표식,"")),"")</f>
        <v/>
      </c>
      <c r="BG13" s="278" t="str">
        <f ca="1">IFERROR(IF(LEN(중요_시점[[#This Row],[일수]])=0,"",IF(AND(BG$5=$E13,$F13=1),중요_시점_표식,"")),"")</f>
        <v/>
      </c>
      <c r="BH13" s="278" t="str">
        <f ca="1">IFERROR(IF(LEN(중요_시점[[#This Row],[일수]])=0,"",IF(AND(BH$5=$E13,$F13=1),중요_시점_표식,"")),"")</f>
        <v/>
      </c>
      <c r="BI13" s="278" t="str">
        <f ca="1">IFERROR(IF(LEN(중요_시점[[#This Row],[일수]])=0,"",IF(AND(BI$5=$E13,$F13=1),중요_시점_표식,"")),"")</f>
        <v/>
      </c>
      <c r="BJ13" s="278" t="str">
        <f ca="1">IFERROR(IF(LEN(중요_시점[[#This Row],[일수]])=0,"",IF(AND(BJ$5=$E13,$F13=1),중요_시점_표식,"")),"")</f>
        <v/>
      </c>
      <c r="BK13" s="278" t="str">
        <f ca="1">IFERROR(IF(LEN(중요_시점[[#This Row],[일수]])=0,"",IF(AND(BK$5=$E13,$F13=1),중요_시점_표식,"")),"")</f>
        <v/>
      </c>
    </row>
    <row r="14" spans="1:63" s="279" customFormat="1" ht="30" customHeight="1">
      <c r="A14" s="243"/>
      <c r="B14" s="276" t="s">
        <v>1611</v>
      </c>
      <c r="C14" s="276"/>
      <c r="D14" s="256"/>
      <c r="E14" s="273"/>
      <c r="F14" s="274"/>
      <c r="G14" s="277"/>
      <c r="H14" s="278" t="str">
        <f>IFERROR(IF(LEN(중요_시점[[#This Row],[일수]])=0,"",IF(AND(H$5=$E14,$F14=1),중요_시점_표식,"")),"")</f>
        <v/>
      </c>
      <c r="I14" s="278" t="str">
        <f>IFERROR(IF(LEN(중요_시점[[#This Row],[일수]])=0,"",IF(AND(I$5=$E14,$F14=1),중요_시점_표식,"")),"")</f>
        <v/>
      </c>
      <c r="J14" s="278" t="str">
        <f>IFERROR(IF(LEN(중요_시점[[#This Row],[일수]])=0,"",IF(AND(J$5=$E14,$F14=1),중요_시점_표식,"")),"")</f>
        <v/>
      </c>
      <c r="K14" s="278" t="str">
        <f>IFERROR(IF(LEN(중요_시점[[#This Row],[일수]])=0,"",IF(AND(K$5=$E14,$F14=1),중요_시점_표식,"")),"")</f>
        <v/>
      </c>
      <c r="L14" s="278" t="str">
        <f>IFERROR(IF(LEN(중요_시점[[#This Row],[일수]])=0,"",IF(AND(L$5=$E14,$F14=1),중요_시점_표식,"")),"")</f>
        <v/>
      </c>
      <c r="M14" s="278" t="str">
        <f>IFERROR(IF(LEN(중요_시점[[#This Row],[일수]])=0,"",IF(AND(M$5=$E14,$F14=1),중요_시점_표식,"")),"")</f>
        <v/>
      </c>
      <c r="N14" s="278" t="str">
        <f>IFERROR(IF(LEN(중요_시점[[#This Row],[일수]])=0,"",IF(AND(N$5=$E14,$F14=1),중요_시점_표식,"")),"")</f>
        <v/>
      </c>
      <c r="O14" s="278" t="str">
        <f>IFERROR(IF(LEN(중요_시점[[#This Row],[일수]])=0,"",IF(AND(O$5=$E14,$F14=1),중요_시점_표식,"")),"")</f>
        <v/>
      </c>
      <c r="P14" s="278" t="str">
        <f>IFERROR(IF(LEN(중요_시점[[#This Row],[일수]])=0,"",IF(AND(P$5=$E14,$F14=1),중요_시점_표식,"")),"")</f>
        <v/>
      </c>
      <c r="Q14" s="278" t="str">
        <f>IFERROR(IF(LEN(중요_시점[[#This Row],[일수]])=0,"",IF(AND(Q$5=$E14,$F14=1),중요_시점_표식,"")),"")</f>
        <v/>
      </c>
      <c r="R14" s="278" t="str">
        <f>IFERROR(IF(LEN(중요_시점[[#This Row],[일수]])=0,"",IF(AND(R$5=$E14,$F14=1),중요_시점_표식,"")),"")</f>
        <v/>
      </c>
      <c r="S14" s="278" t="str">
        <f>IFERROR(IF(LEN(중요_시점[[#This Row],[일수]])=0,"",IF(AND(S$5=$E14,$F14=1),중요_시점_표식,"")),"")</f>
        <v/>
      </c>
      <c r="T14" s="278" t="str">
        <f>IFERROR(IF(LEN(중요_시점[[#This Row],[일수]])=0,"",IF(AND(T$5=$E14,$F14=1),중요_시점_표식,"")),"")</f>
        <v/>
      </c>
      <c r="U14" s="278" t="str">
        <f>IFERROR(IF(LEN(중요_시점[[#This Row],[일수]])=0,"",IF(AND(U$5=$E14,$F14=1),중요_시점_표식,"")),"")</f>
        <v/>
      </c>
      <c r="V14" s="278" t="str">
        <f>IFERROR(IF(LEN(중요_시점[[#This Row],[일수]])=0,"",IF(AND(V$5=$E14,$F14=1),중요_시점_표식,"")),"")</f>
        <v/>
      </c>
      <c r="W14" s="278" t="str">
        <f>IFERROR(IF(LEN(중요_시점[[#This Row],[일수]])=0,"",IF(AND(W$5=$E14,$F14=1),중요_시점_표식,"")),"")</f>
        <v/>
      </c>
      <c r="X14" s="278" t="str">
        <f>IFERROR(IF(LEN(중요_시점[[#This Row],[일수]])=0,"",IF(AND(X$5=$E14,$F14=1),중요_시점_표식,"")),"")</f>
        <v/>
      </c>
      <c r="Y14" s="278" t="str">
        <f>IFERROR(IF(LEN(중요_시점[[#This Row],[일수]])=0,"",IF(AND(Y$5=$E14,$F14=1),중요_시점_표식,"")),"")</f>
        <v/>
      </c>
      <c r="Z14" s="278" t="str">
        <f>IFERROR(IF(LEN(중요_시점[[#This Row],[일수]])=0,"",IF(AND(Z$5=$E14,$F14=1),중요_시점_표식,"")),"")</f>
        <v/>
      </c>
      <c r="AA14" s="278" t="str">
        <f>IFERROR(IF(LEN(중요_시점[[#This Row],[일수]])=0,"",IF(AND(AA$5=$E14,$F14=1),중요_시점_표식,"")),"")</f>
        <v/>
      </c>
      <c r="AB14" s="278" t="str">
        <f>IFERROR(IF(LEN(중요_시점[[#This Row],[일수]])=0,"",IF(AND(AB$5=$E14,$F14=1),중요_시점_표식,"")),"")</f>
        <v/>
      </c>
      <c r="AC14" s="278" t="str">
        <f>IFERROR(IF(LEN(중요_시점[[#This Row],[일수]])=0,"",IF(AND(AC$5=$E14,$F14=1),중요_시점_표식,"")),"")</f>
        <v/>
      </c>
      <c r="AD14" s="278" t="str">
        <f>IFERROR(IF(LEN(중요_시점[[#This Row],[일수]])=0,"",IF(AND(AD$5=$E14,$F14=1),중요_시점_표식,"")),"")</f>
        <v/>
      </c>
      <c r="AE14" s="278" t="str">
        <f>IFERROR(IF(LEN(중요_시점[[#This Row],[일수]])=0,"",IF(AND(AE$5=$E14,$F14=1),중요_시점_표식,"")),"")</f>
        <v/>
      </c>
      <c r="AF14" s="278" t="str">
        <f>IFERROR(IF(LEN(중요_시점[[#This Row],[일수]])=0,"",IF(AND(AF$5=$E14,$F14=1),중요_시점_표식,"")),"")</f>
        <v/>
      </c>
      <c r="AG14" s="278" t="str">
        <f>IFERROR(IF(LEN(중요_시점[[#This Row],[일수]])=0,"",IF(AND(AG$5=$E14,$F14=1),중요_시점_표식,"")),"")</f>
        <v/>
      </c>
      <c r="AH14" s="278" t="str">
        <f>IFERROR(IF(LEN(중요_시점[[#This Row],[일수]])=0,"",IF(AND(AH$5=$E14,$F14=1),중요_시점_표식,"")),"")</f>
        <v/>
      </c>
      <c r="AI14" s="278" t="str">
        <f>IFERROR(IF(LEN(중요_시점[[#This Row],[일수]])=0,"",IF(AND(AI$5=$E14,$F14=1),중요_시점_표식,"")),"")</f>
        <v/>
      </c>
      <c r="AJ14" s="278" t="str">
        <f>IFERROR(IF(LEN(중요_시점[[#This Row],[일수]])=0,"",IF(AND(AJ$5=$E14,$F14=1),중요_시점_표식,"")),"")</f>
        <v/>
      </c>
      <c r="AK14" s="278" t="str">
        <f>IFERROR(IF(LEN(중요_시점[[#This Row],[일수]])=0,"",IF(AND(AK$5=$E14,$F14=1),중요_시점_표식,"")),"")</f>
        <v/>
      </c>
      <c r="AL14" s="278" t="str">
        <f>IFERROR(IF(LEN(중요_시점[[#This Row],[일수]])=0,"",IF(AND(AL$5=$E14,$F14=1),중요_시점_표식,"")),"")</f>
        <v/>
      </c>
      <c r="AM14" s="278" t="str">
        <f>IFERROR(IF(LEN(중요_시점[[#This Row],[일수]])=0,"",IF(AND(AM$5=$E14,$F14=1),중요_시점_표식,"")),"")</f>
        <v/>
      </c>
      <c r="AN14" s="278" t="str">
        <f>IFERROR(IF(LEN(중요_시점[[#This Row],[일수]])=0,"",IF(AND(AN$5=$E14,$F14=1),중요_시점_표식,"")),"")</f>
        <v/>
      </c>
      <c r="AO14" s="278" t="str">
        <f>IFERROR(IF(LEN(중요_시점[[#This Row],[일수]])=0,"",IF(AND(AO$5=$E14,$F14=1),중요_시점_표식,"")),"")</f>
        <v/>
      </c>
      <c r="AP14" s="278" t="str">
        <f>IFERROR(IF(LEN(중요_시점[[#This Row],[일수]])=0,"",IF(AND(AP$5=$E14,$F14=1),중요_시점_표식,"")),"")</f>
        <v/>
      </c>
      <c r="AQ14" s="278" t="str">
        <f>IFERROR(IF(LEN(중요_시점[[#This Row],[일수]])=0,"",IF(AND(AQ$5=$E14,$F14=1),중요_시점_표식,"")),"")</f>
        <v/>
      </c>
      <c r="AR14" s="278" t="str">
        <f>IFERROR(IF(LEN(중요_시점[[#This Row],[일수]])=0,"",IF(AND(AR$5=$E14,$F14=1),중요_시점_표식,"")),"")</f>
        <v/>
      </c>
      <c r="AS14" s="278" t="str">
        <f>IFERROR(IF(LEN(중요_시점[[#This Row],[일수]])=0,"",IF(AND(AS$5=$E14,$F14=1),중요_시점_표식,"")),"")</f>
        <v/>
      </c>
      <c r="AT14" s="278" t="str">
        <f>IFERROR(IF(LEN(중요_시점[[#This Row],[일수]])=0,"",IF(AND(AT$5=$E14,$F14=1),중요_시점_표식,"")),"")</f>
        <v/>
      </c>
      <c r="AU14" s="278" t="str">
        <f>IFERROR(IF(LEN(중요_시점[[#This Row],[일수]])=0,"",IF(AND(AU$5=$E14,$F14=1),중요_시점_표식,"")),"")</f>
        <v/>
      </c>
      <c r="AV14" s="278" t="str">
        <f>IFERROR(IF(LEN(중요_시점[[#This Row],[일수]])=0,"",IF(AND(AV$5=$E14,$F14=1),중요_시점_표식,"")),"")</f>
        <v/>
      </c>
      <c r="AW14" s="278" t="str">
        <f>IFERROR(IF(LEN(중요_시점[[#This Row],[일수]])=0,"",IF(AND(AW$5=$E14,$F14=1),중요_시점_표식,"")),"")</f>
        <v/>
      </c>
      <c r="AX14" s="278" t="str">
        <f>IFERROR(IF(LEN(중요_시점[[#This Row],[일수]])=0,"",IF(AND(AX$5=$E14,$F14=1),중요_시점_표식,"")),"")</f>
        <v/>
      </c>
      <c r="AY14" s="278" t="str">
        <f>IFERROR(IF(LEN(중요_시점[[#This Row],[일수]])=0,"",IF(AND(AY$5=$E14,$F14=1),중요_시점_표식,"")),"")</f>
        <v/>
      </c>
      <c r="AZ14" s="278" t="str">
        <f>IFERROR(IF(LEN(중요_시점[[#This Row],[일수]])=0,"",IF(AND(AZ$5=$E14,$F14=1),중요_시점_표식,"")),"")</f>
        <v/>
      </c>
      <c r="BA14" s="278" t="str">
        <f>IFERROR(IF(LEN(중요_시점[[#This Row],[일수]])=0,"",IF(AND(BA$5=$E14,$F14=1),중요_시점_표식,"")),"")</f>
        <v/>
      </c>
      <c r="BB14" s="278" t="str">
        <f>IFERROR(IF(LEN(중요_시점[[#This Row],[일수]])=0,"",IF(AND(BB$5=$E14,$F14=1),중요_시점_표식,"")),"")</f>
        <v/>
      </c>
      <c r="BC14" s="278" t="str">
        <f>IFERROR(IF(LEN(중요_시점[[#This Row],[일수]])=0,"",IF(AND(BC$5=$E14,$F14=1),중요_시점_표식,"")),"")</f>
        <v/>
      </c>
      <c r="BD14" s="278" t="str">
        <f>IFERROR(IF(LEN(중요_시점[[#This Row],[일수]])=0,"",IF(AND(BD$5=$E14,$F14=1),중요_시점_표식,"")),"")</f>
        <v/>
      </c>
      <c r="BE14" s="278" t="str">
        <f>IFERROR(IF(LEN(중요_시점[[#This Row],[일수]])=0,"",IF(AND(BE$5=$E14,$F14=1),중요_시점_표식,"")),"")</f>
        <v/>
      </c>
      <c r="BF14" s="278" t="str">
        <f>IFERROR(IF(LEN(중요_시점[[#This Row],[일수]])=0,"",IF(AND(BF$5=$E14,$F14=1),중요_시점_표식,"")),"")</f>
        <v/>
      </c>
      <c r="BG14" s="278" t="str">
        <f>IFERROR(IF(LEN(중요_시점[[#This Row],[일수]])=0,"",IF(AND(BG$5=$E14,$F14=1),중요_시점_표식,"")),"")</f>
        <v/>
      </c>
      <c r="BH14" s="278" t="str">
        <f>IFERROR(IF(LEN(중요_시점[[#This Row],[일수]])=0,"",IF(AND(BH$5=$E14,$F14=1),중요_시점_표식,"")),"")</f>
        <v/>
      </c>
      <c r="BI14" s="278" t="str">
        <f>IFERROR(IF(LEN(중요_시점[[#This Row],[일수]])=0,"",IF(AND(BI$5=$E14,$F14=1),중요_시점_표식,"")),"")</f>
        <v/>
      </c>
      <c r="BJ14" s="278" t="str">
        <f>IFERROR(IF(LEN(중요_시점[[#This Row],[일수]])=0,"",IF(AND(BJ$5=$E14,$F14=1),중요_시점_표식,"")),"")</f>
        <v/>
      </c>
      <c r="BK14" s="278" t="str">
        <f>IFERROR(IF(LEN(중요_시점[[#This Row],[일수]])=0,"",IF(AND(BK$5=$E14,$F14=1),중요_시점_표식,"")),"")</f>
        <v/>
      </c>
    </row>
    <row r="15" spans="1:63" s="279" customFormat="1" ht="30" customHeight="1">
      <c r="A15" s="243"/>
      <c r="B15" s="272" t="s">
        <v>1612</v>
      </c>
      <c r="C15" s="272"/>
      <c r="D15" s="256"/>
      <c r="E15" s="273">
        <f ca="1">TODAY()+6</f>
        <v>44520</v>
      </c>
      <c r="F15" s="274">
        <v>13</v>
      </c>
      <c r="G15" s="277"/>
      <c r="H15" s="278" t="str">
        <f ca="1">IFERROR(IF(LEN(중요_시점[[#This Row],[일수]])=0,"",IF(AND(H$5=$E15,$F15=1),중요_시점_표식,"")),"")</f>
        <v/>
      </c>
      <c r="I15" s="278" t="str">
        <f ca="1">IFERROR(IF(LEN(중요_시점[[#This Row],[일수]])=0,"",IF(AND(I$5=$E15,$F15=1),중요_시점_표식,"")),"")</f>
        <v/>
      </c>
      <c r="J15" s="278" t="str">
        <f ca="1">IFERROR(IF(LEN(중요_시점[[#This Row],[일수]])=0,"",IF(AND(J$5=$E15,$F15=1),중요_시점_표식,"")),"")</f>
        <v/>
      </c>
      <c r="K15" s="278" t="str">
        <f ca="1">IFERROR(IF(LEN(중요_시점[[#This Row],[일수]])=0,"",IF(AND(K$5=$E15,$F15=1),중요_시점_표식,"")),"")</f>
        <v/>
      </c>
      <c r="L15" s="278" t="str">
        <f ca="1">IFERROR(IF(LEN(중요_시점[[#This Row],[일수]])=0,"",IF(AND(L$5=$E15,$F15=1),중요_시점_표식,"")),"")</f>
        <v/>
      </c>
      <c r="M15" s="278" t="str">
        <f ca="1">IFERROR(IF(LEN(중요_시점[[#This Row],[일수]])=0,"",IF(AND(M$5=$E15,$F15=1),중요_시점_표식,"")),"")</f>
        <v/>
      </c>
      <c r="N15" s="278" t="str">
        <f ca="1">IFERROR(IF(LEN(중요_시점[[#This Row],[일수]])=0,"",IF(AND(N$5=$E15,$F15=1),중요_시점_표식,"")),"")</f>
        <v/>
      </c>
      <c r="O15" s="278" t="str">
        <f ca="1">IFERROR(IF(LEN(중요_시점[[#This Row],[일수]])=0,"",IF(AND(O$5=$E15,$F15=1),중요_시점_표식,"")),"")</f>
        <v/>
      </c>
      <c r="P15" s="278" t="str">
        <f ca="1">IFERROR(IF(LEN(중요_시점[[#This Row],[일수]])=0,"",IF(AND(P$5=$E15,$F15=1),중요_시점_표식,"")),"")</f>
        <v/>
      </c>
      <c r="Q15" s="278" t="str">
        <f ca="1">IFERROR(IF(LEN(중요_시점[[#This Row],[일수]])=0,"",IF(AND(Q$5=$E15,$F15=1),중요_시점_표식,"")),"")</f>
        <v/>
      </c>
      <c r="R15" s="278" t="str">
        <f ca="1">IFERROR(IF(LEN(중요_시점[[#This Row],[일수]])=0,"",IF(AND(R$5=$E15,$F15=1),중요_시점_표식,"")),"")</f>
        <v/>
      </c>
      <c r="S15" s="278" t="str">
        <f ca="1">IFERROR(IF(LEN(중요_시점[[#This Row],[일수]])=0,"",IF(AND(S$5=$E15,$F15=1),중요_시점_표식,"")),"")</f>
        <v/>
      </c>
      <c r="T15" s="278" t="str">
        <f ca="1">IFERROR(IF(LEN(중요_시점[[#This Row],[일수]])=0,"",IF(AND(T$5=$E15,$F15=1),중요_시점_표식,"")),"")</f>
        <v/>
      </c>
      <c r="U15" s="278" t="str">
        <f ca="1">IFERROR(IF(LEN(중요_시점[[#This Row],[일수]])=0,"",IF(AND(U$5=$E15,$F15=1),중요_시점_표식,"")),"")</f>
        <v/>
      </c>
      <c r="V15" s="278" t="str">
        <f ca="1">IFERROR(IF(LEN(중요_시점[[#This Row],[일수]])=0,"",IF(AND(V$5=$E15,$F15=1),중요_시점_표식,"")),"")</f>
        <v/>
      </c>
      <c r="W15" s="278" t="str">
        <f ca="1">IFERROR(IF(LEN(중요_시점[[#This Row],[일수]])=0,"",IF(AND(W$5=$E15,$F15=1),중요_시점_표식,"")),"")</f>
        <v/>
      </c>
      <c r="X15" s="278" t="str">
        <f ca="1">IFERROR(IF(LEN(중요_시점[[#This Row],[일수]])=0,"",IF(AND(X$5=$E15,$F15=1),중요_시점_표식,"")),"")</f>
        <v/>
      </c>
      <c r="Y15" s="278" t="str">
        <f ca="1">IFERROR(IF(LEN(중요_시점[[#This Row],[일수]])=0,"",IF(AND(Y$5=$E15,$F15=1),중요_시점_표식,"")),"")</f>
        <v/>
      </c>
      <c r="Z15" s="278" t="str">
        <f ca="1">IFERROR(IF(LEN(중요_시점[[#This Row],[일수]])=0,"",IF(AND(Z$5=$E15,$F15=1),중요_시점_표식,"")),"")</f>
        <v/>
      </c>
      <c r="AA15" s="278" t="str">
        <f ca="1">IFERROR(IF(LEN(중요_시점[[#This Row],[일수]])=0,"",IF(AND(AA$5=$E15,$F15=1),중요_시점_표식,"")),"")</f>
        <v/>
      </c>
      <c r="AB15" s="278" t="str">
        <f ca="1">IFERROR(IF(LEN(중요_시점[[#This Row],[일수]])=0,"",IF(AND(AB$5=$E15,$F15=1),중요_시점_표식,"")),"")</f>
        <v/>
      </c>
      <c r="AC15" s="278" t="str">
        <f ca="1">IFERROR(IF(LEN(중요_시점[[#This Row],[일수]])=0,"",IF(AND(AC$5=$E15,$F15=1),중요_시점_표식,"")),"")</f>
        <v/>
      </c>
      <c r="AD15" s="278" t="str">
        <f ca="1">IFERROR(IF(LEN(중요_시점[[#This Row],[일수]])=0,"",IF(AND(AD$5=$E15,$F15=1),중요_시점_표식,"")),"")</f>
        <v/>
      </c>
      <c r="AE15" s="278" t="str">
        <f ca="1">IFERROR(IF(LEN(중요_시점[[#This Row],[일수]])=0,"",IF(AND(AE$5=$E15,$F15=1),중요_시점_표식,"")),"")</f>
        <v/>
      </c>
      <c r="AF15" s="278" t="str">
        <f ca="1">IFERROR(IF(LEN(중요_시점[[#This Row],[일수]])=0,"",IF(AND(AF$5=$E15,$F15=1),중요_시점_표식,"")),"")</f>
        <v/>
      </c>
      <c r="AG15" s="278" t="str">
        <f ca="1">IFERROR(IF(LEN(중요_시점[[#This Row],[일수]])=0,"",IF(AND(AG$5=$E15,$F15=1),중요_시점_표식,"")),"")</f>
        <v/>
      </c>
      <c r="AH15" s="278" t="str">
        <f ca="1">IFERROR(IF(LEN(중요_시점[[#This Row],[일수]])=0,"",IF(AND(AH$5=$E15,$F15=1),중요_시점_표식,"")),"")</f>
        <v/>
      </c>
      <c r="AI15" s="278" t="str">
        <f ca="1">IFERROR(IF(LEN(중요_시점[[#This Row],[일수]])=0,"",IF(AND(AI$5=$E15,$F15=1),중요_시점_표식,"")),"")</f>
        <v/>
      </c>
      <c r="AJ15" s="278" t="str">
        <f ca="1">IFERROR(IF(LEN(중요_시점[[#This Row],[일수]])=0,"",IF(AND(AJ$5=$E15,$F15=1),중요_시점_표식,"")),"")</f>
        <v/>
      </c>
      <c r="AK15" s="278" t="str">
        <f ca="1">IFERROR(IF(LEN(중요_시점[[#This Row],[일수]])=0,"",IF(AND(AK$5=$E15,$F15=1),중요_시점_표식,"")),"")</f>
        <v/>
      </c>
      <c r="AL15" s="278" t="str">
        <f ca="1">IFERROR(IF(LEN(중요_시점[[#This Row],[일수]])=0,"",IF(AND(AL$5=$E15,$F15=1),중요_시점_표식,"")),"")</f>
        <v/>
      </c>
      <c r="AM15" s="278" t="str">
        <f ca="1">IFERROR(IF(LEN(중요_시점[[#This Row],[일수]])=0,"",IF(AND(AM$5=$E15,$F15=1),중요_시점_표식,"")),"")</f>
        <v/>
      </c>
      <c r="AN15" s="278" t="str">
        <f ca="1">IFERROR(IF(LEN(중요_시점[[#This Row],[일수]])=0,"",IF(AND(AN$5=$E15,$F15=1),중요_시점_표식,"")),"")</f>
        <v/>
      </c>
      <c r="AO15" s="278" t="str">
        <f ca="1">IFERROR(IF(LEN(중요_시점[[#This Row],[일수]])=0,"",IF(AND(AO$5=$E15,$F15=1),중요_시점_표식,"")),"")</f>
        <v/>
      </c>
      <c r="AP15" s="278" t="str">
        <f ca="1">IFERROR(IF(LEN(중요_시점[[#This Row],[일수]])=0,"",IF(AND(AP$5=$E15,$F15=1),중요_시점_표식,"")),"")</f>
        <v/>
      </c>
      <c r="AQ15" s="278" t="str">
        <f ca="1">IFERROR(IF(LEN(중요_시점[[#This Row],[일수]])=0,"",IF(AND(AQ$5=$E15,$F15=1),중요_시점_표식,"")),"")</f>
        <v/>
      </c>
      <c r="AR15" s="278" t="str">
        <f ca="1">IFERROR(IF(LEN(중요_시점[[#This Row],[일수]])=0,"",IF(AND(AR$5=$E15,$F15=1),중요_시점_표식,"")),"")</f>
        <v/>
      </c>
      <c r="AS15" s="278" t="str">
        <f ca="1">IFERROR(IF(LEN(중요_시점[[#This Row],[일수]])=0,"",IF(AND(AS$5=$E15,$F15=1),중요_시점_표식,"")),"")</f>
        <v/>
      </c>
      <c r="AT15" s="278" t="str">
        <f ca="1">IFERROR(IF(LEN(중요_시점[[#This Row],[일수]])=0,"",IF(AND(AT$5=$E15,$F15=1),중요_시점_표식,"")),"")</f>
        <v/>
      </c>
      <c r="AU15" s="278" t="str">
        <f ca="1">IFERROR(IF(LEN(중요_시점[[#This Row],[일수]])=0,"",IF(AND(AU$5=$E15,$F15=1),중요_시점_표식,"")),"")</f>
        <v/>
      </c>
      <c r="AV15" s="278" t="str">
        <f ca="1">IFERROR(IF(LEN(중요_시점[[#This Row],[일수]])=0,"",IF(AND(AV$5=$E15,$F15=1),중요_시점_표식,"")),"")</f>
        <v/>
      </c>
      <c r="AW15" s="278" t="str">
        <f ca="1">IFERROR(IF(LEN(중요_시점[[#This Row],[일수]])=0,"",IF(AND(AW$5=$E15,$F15=1),중요_시점_표식,"")),"")</f>
        <v/>
      </c>
      <c r="AX15" s="278" t="str">
        <f ca="1">IFERROR(IF(LEN(중요_시점[[#This Row],[일수]])=0,"",IF(AND(AX$5=$E15,$F15=1),중요_시점_표식,"")),"")</f>
        <v/>
      </c>
      <c r="AY15" s="278" t="str">
        <f ca="1">IFERROR(IF(LEN(중요_시점[[#This Row],[일수]])=0,"",IF(AND(AY$5=$E15,$F15=1),중요_시점_표식,"")),"")</f>
        <v/>
      </c>
      <c r="AZ15" s="278" t="str">
        <f ca="1">IFERROR(IF(LEN(중요_시점[[#This Row],[일수]])=0,"",IF(AND(AZ$5=$E15,$F15=1),중요_시점_표식,"")),"")</f>
        <v/>
      </c>
      <c r="BA15" s="278" t="str">
        <f ca="1">IFERROR(IF(LEN(중요_시점[[#This Row],[일수]])=0,"",IF(AND(BA$5=$E15,$F15=1),중요_시점_표식,"")),"")</f>
        <v/>
      </c>
      <c r="BB15" s="278" t="str">
        <f ca="1">IFERROR(IF(LEN(중요_시점[[#This Row],[일수]])=0,"",IF(AND(BB$5=$E15,$F15=1),중요_시점_표식,"")),"")</f>
        <v/>
      </c>
      <c r="BC15" s="278" t="str">
        <f ca="1">IFERROR(IF(LEN(중요_시점[[#This Row],[일수]])=0,"",IF(AND(BC$5=$E15,$F15=1),중요_시점_표식,"")),"")</f>
        <v/>
      </c>
      <c r="BD15" s="278" t="str">
        <f ca="1">IFERROR(IF(LEN(중요_시점[[#This Row],[일수]])=0,"",IF(AND(BD$5=$E15,$F15=1),중요_시점_표식,"")),"")</f>
        <v/>
      </c>
      <c r="BE15" s="278" t="str">
        <f ca="1">IFERROR(IF(LEN(중요_시점[[#This Row],[일수]])=0,"",IF(AND(BE$5=$E15,$F15=1),중요_시점_표식,"")),"")</f>
        <v/>
      </c>
      <c r="BF15" s="278" t="str">
        <f ca="1">IFERROR(IF(LEN(중요_시점[[#This Row],[일수]])=0,"",IF(AND(BF$5=$E15,$F15=1),중요_시점_표식,"")),"")</f>
        <v/>
      </c>
      <c r="BG15" s="278" t="str">
        <f ca="1">IFERROR(IF(LEN(중요_시점[[#This Row],[일수]])=0,"",IF(AND(BG$5=$E15,$F15=1),중요_시점_표식,"")),"")</f>
        <v/>
      </c>
      <c r="BH15" s="278" t="str">
        <f ca="1">IFERROR(IF(LEN(중요_시점[[#This Row],[일수]])=0,"",IF(AND(BH$5=$E15,$F15=1),중요_시점_표식,"")),"")</f>
        <v/>
      </c>
      <c r="BI15" s="278" t="str">
        <f ca="1">IFERROR(IF(LEN(중요_시점[[#This Row],[일수]])=0,"",IF(AND(BI$5=$E15,$F15=1),중요_시점_표식,"")),"")</f>
        <v/>
      </c>
      <c r="BJ15" s="278" t="str">
        <f ca="1">IFERROR(IF(LEN(중요_시점[[#This Row],[일수]])=0,"",IF(AND(BJ$5=$E15,$F15=1),중요_시점_표식,"")),"")</f>
        <v/>
      </c>
      <c r="BK15" s="278" t="str">
        <f ca="1">IFERROR(IF(LEN(중요_시점[[#This Row],[일수]])=0,"",IF(AND(BK$5=$E15,$F15=1),중요_시점_표식,"")),"")</f>
        <v/>
      </c>
    </row>
    <row r="16" spans="1:63" s="279" customFormat="1" ht="30" customHeight="1">
      <c r="A16" s="271"/>
      <c r="B16" s="272" t="s">
        <v>1607</v>
      </c>
      <c r="C16" s="272"/>
      <c r="D16" s="256"/>
      <c r="E16" s="273">
        <f ca="1">TODAY()+7</f>
        <v>44521</v>
      </c>
      <c r="F16" s="274">
        <v>9</v>
      </c>
      <c r="G16" s="277"/>
      <c r="H16" s="278" t="str">
        <f ca="1">IFERROR(IF(LEN(중요_시점[[#This Row],[일수]])=0,"",IF(AND(H$5=$E16,$F16=1),중요_시점_표식,"")),"")</f>
        <v/>
      </c>
      <c r="I16" s="278" t="str">
        <f ca="1">IFERROR(IF(LEN(중요_시점[[#This Row],[일수]])=0,"",IF(AND(I$5=$E16,$F16=1),중요_시점_표식,"")),"")</f>
        <v/>
      </c>
      <c r="J16" s="278" t="str">
        <f ca="1">IFERROR(IF(LEN(중요_시점[[#This Row],[일수]])=0,"",IF(AND(J$5=$E16,$F16=1),중요_시점_표식,"")),"")</f>
        <v/>
      </c>
      <c r="K16" s="278" t="str">
        <f ca="1">IFERROR(IF(LEN(중요_시점[[#This Row],[일수]])=0,"",IF(AND(K$5=$E16,$F16=1),중요_시점_표식,"")),"")</f>
        <v/>
      </c>
      <c r="L16" s="278" t="str">
        <f ca="1">IFERROR(IF(LEN(중요_시점[[#This Row],[일수]])=0,"",IF(AND(L$5=$E16,$F16=1),중요_시점_표식,"")),"")</f>
        <v/>
      </c>
      <c r="M16" s="278" t="str">
        <f ca="1">IFERROR(IF(LEN(중요_시점[[#This Row],[일수]])=0,"",IF(AND(M$5=$E16,$F16=1),중요_시점_표식,"")),"")</f>
        <v/>
      </c>
      <c r="N16" s="278" t="str">
        <f ca="1">IFERROR(IF(LEN(중요_시점[[#This Row],[일수]])=0,"",IF(AND(N$5=$E16,$F16=1),중요_시점_표식,"")),"")</f>
        <v/>
      </c>
      <c r="O16" s="278" t="str">
        <f ca="1">IFERROR(IF(LEN(중요_시점[[#This Row],[일수]])=0,"",IF(AND(O$5=$E16,$F16=1),중요_시점_표식,"")),"")</f>
        <v/>
      </c>
      <c r="P16" s="278" t="str">
        <f ca="1">IFERROR(IF(LEN(중요_시점[[#This Row],[일수]])=0,"",IF(AND(P$5=$E16,$F16=1),중요_시점_표식,"")),"")</f>
        <v/>
      </c>
      <c r="Q16" s="278" t="str">
        <f ca="1">IFERROR(IF(LEN(중요_시점[[#This Row],[일수]])=0,"",IF(AND(Q$5=$E16,$F16=1),중요_시점_표식,"")),"")</f>
        <v/>
      </c>
      <c r="R16" s="278" t="str">
        <f ca="1">IFERROR(IF(LEN(중요_시점[[#This Row],[일수]])=0,"",IF(AND(R$5=$E16,$F16=1),중요_시점_표식,"")),"")</f>
        <v/>
      </c>
      <c r="S16" s="278" t="str">
        <f ca="1">IFERROR(IF(LEN(중요_시점[[#This Row],[일수]])=0,"",IF(AND(S$5=$E16,$F16=1),중요_시점_표식,"")),"")</f>
        <v/>
      </c>
      <c r="T16" s="278" t="str">
        <f ca="1">IFERROR(IF(LEN(중요_시점[[#This Row],[일수]])=0,"",IF(AND(T$5=$E16,$F16=1),중요_시점_표식,"")),"")</f>
        <v/>
      </c>
      <c r="U16" s="278" t="str">
        <f ca="1">IFERROR(IF(LEN(중요_시점[[#This Row],[일수]])=0,"",IF(AND(U$5=$E16,$F16=1),중요_시점_표식,"")),"")</f>
        <v/>
      </c>
      <c r="V16" s="278" t="str">
        <f ca="1">IFERROR(IF(LEN(중요_시점[[#This Row],[일수]])=0,"",IF(AND(V$5=$E16,$F16=1),중요_시점_표식,"")),"")</f>
        <v/>
      </c>
      <c r="W16" s="278" t="str">
        <f ca="1">IFERROR(IF(LEN(중요_시점[[#This Row],[일수]])=0,"",IF(AND(W$5=$E16,$F16=1),중요_시점_표식,"")),"")</f>
        <v/>
      </c>
      <c r="X16" s="278" t="str">
        <f ca="1">IFERROR(IF(LEN(중요_시점[[#This Row],[일수]])=0,"",IF(AND(X$5=$E16,$F16=1),중요_시점_표식,"")),"")</f>
        <v/>
      </c>
      <c r="Y16" s="278" t="str">
        <f ca="1">IFERROR(IF(LEN(중요_시점[[#This Row],[일수]])=0,"",IF(AND(Y$5=$E16,$F16=1),중요_시점_표식,"")),"")</f>
        <v/>
      </c>
      <c r="Z16" s="278" t="str">
        <f ca="1">IFERROR(IF(LEN(중요_시점[[#This Row],[일수]])=0,"",IF(AND(Z$5=$E16,$F16=1),중요_시점_표식,"")),"")</f>
        <v/>
      </c>
      <c r="AA16" s="278" t="str">
        <f ca="1">IFERROR(IF(LEN(중요_시점[[#This Row],[일수]])=0,"",IF(AND(AA$5=$E16,$F16=1),중요_시점_표식,"")),"")</f>
        <v/>
      </c>
      <c r="AB16" s="278" t="str">
        <f ca="1">IFERROR(IF(LEN(중요_시점[[#This Row],[일수]])=0,"",IF(AND(AB$5=$E16,$F16=1),중요_시점_표식,"")),"")</f>
        <v/>
      </c>
      <c r="AC16" s="278" t="str">
        <f ca="1">IFERROR(IF(LEN(중요_시점[[#This Row],[일수]])=0,"",IF(AND(AC$5=$E16,$F16=1),중요_시점_표식,"")),"")</f>
        <v/>
      </c>
      <c r="AD16" s="278" t="str">
        <f ca="1">IFERROR(IF(LEN(중요_시점[[#This Row],[일수]])=0,"",IF(AND(AD$5=$E16,$F16=1),중요_시점_표식,"")),"")</f>
        <v/>
      </c>
      <c r="AE16" s="278" t="str">
        <f ca="1">IFERROR(IF(LEN(중요_시점[[#This Row],[일수]])=0,"",IF(AND(AE$5=$E16,$F16=1),중요_시점_표식,"")),"")</f>
        <v/>
      </c>
      <c r="AF16" s="278" t="str">
        <f ca="1">IFERROR(IF(LEN(중요_시점[[#This Row],[일수]])=0,"",IF(AND(AF$5=$E16,$F16=1),중요_시점_표식,"")),"")</f>
        <v/>
      </c>
      <c r="AG16" s="278" t="str">
        <f ca="1">IFERROR(IF(LEN(중요_시점[[#This Row],[일수]])=0,"",IF(AND(AG$5=$E16,$F16=1),중요_시점_표식,"")),"")</f>
        <v/>
      </c>
      <c r="AH16" s="278" t="str">
        <f ca="1">IFERROR(IF(LEN(중요_시점[[#This Row],[일수]])=0,"",IF(AND(AH$5=$E16,$F16=1),중요_시점_표식,"")),"")</f>
        <v/>
      </c>
      <c r="AI16" s="278" t="str">
        <f ca="1">IFERROR(IF(LEN(중요_시점[[#This Row],[일수]])=0,"",IF(AND(AI$5=$E16,$F16=1),중요_시점_표식,"")),"")</f>
        <v/>
      </c>
      <c r="AJ16" s="278" t="str">
        <f ca="1">IFERROR(IF(LEN(중요_시점[[#This Row],[일수]])=0,"",IF(AND(AJ$5=$E16,$F16=1),중요_시점_표식,"")),"")</f>
        <v/>
      </c>
      <c r="AK16" s="278" t="str">
        <f ca="1">IFERROR(IF(LEN(중요_시점[[#This Row],[일수]])=0,"",IF(AND(AK$5=$E16,$F16=1),중요_시점_표식,"")),"")</f>
        <v/>
      </c>
      <c r="AL16" s="278" t="str">
        <f ca="1">IFERROR(IF(LEN(중요_시점[[#This Row],[일수]])=0,"",IF(AND(AL$5=$E16,$F16=1),중요_시점_표식,"")),"")</f>
        <v/>
      </c>
      <c r="AM16" s="278" t="str">
        <f ca="1">IFERROR(IF(LEN(중요_시점[[#This Row],[일수]])=0,"",IF(AND(AM$5=$E16,$F16=1),중요_시점_표식,"")),"")</f>
        <v/>
      </c>
      <c r="AN16" s="278" t="str">
        <f ca="1">IFERROR(IF(LEN(중요_시점[[#This Row],[일수]])=0,"",IF(AND(AN$5=$E16,$F16=1),중요_시점_표식,"")),"")</f>
        <v/>
      </c>
      <c r="AO16" s="278" t="str">
        <f ca="1">IFERROR(IF(LEN(중요_시점[[#This Row],[일수]])=0,"",IF(AND(AO$5=$E16,$F16=1),중요_시점_표식,"")),"")</f>
        <v/>
      </c>
      <c r="AP16" s="278" t="str">
        <f ca="1">IFERROR(IF(LEN(중요_시점[[#This Row],[일수]])=0,"",IF(AND(AP$5=$E16,$F16=1),중요_시점_표식,"")),"")</f>
        <v/>
      </c>
      <c r="AQ16" s="278" t="str">
        <f ca="1">IFERROR(IF(LEN(중요_시점[[#This Row],[일수]])=0,"",IF(AND(AQ$5=$E16,$F16=1),중요_시점_표식,"")),"")</f>
        <v/>
      </c>
      <c r="AR16" s="278" t="str">
        <f ca="1">IFERROR(IF(LEN(중요_시점[[#This Row],[일수]])=0,"",IF(AND(AR$5=$E16,$F16=1),중요_시점_표식,"")),"")</f>
        <v/>
      </c>
      <c r="AS16" s="278" t="str">
        <f ca="1">IFERROR(IF(LEN(중요_시점[[#This Row],[일수]])=0,"",IF(AND(AS$5=$E16,$F16=1),중요_시점_표식,"")),"")</f>
        <v/>
      </c>
      <c r="AT16" s="278" t="str">
        <f ca="1">IFERROR(IF(LEN(중요_시점[[#This Row],[일수]])=0,"",IF(AND(AT$5=$E16,$F16=1),중요_시점_표식,"")),"")</f>
        <v/>
      </c>
      <c r="AU16" s="278" t="str">
        <f ca="1">IFERROR(IF(LEN(중요_시점[[#This Row],[일수]])=0,"",IF(AND(AU$5=$E16,$F16=1),중요_시점_표식,"")),"")</f>
        <v/>
      </c>
      <c r="AV16" s="278" t="str">
        <f ca="1">IFERROR(IF(LEN(중요_시점[[#This Row],[일수]])=0,"",IF(AND(AV$5=$E16,$F16=1),중요_시점_표식,"")),"")</f>
        <v/>
      </c>
      <c r="AW16" s="278" t="str">
        <f ca="1">IFERROR(IF(LEN(중요_시점[[#This Row],[일수]])=0,"",IF(AND(AW$5=$E16,$F16=1),중요_시점_표식,"")),"")</f>
        <v/>
      </c>
      <c r="AX16" s="278" t="str">
        <f ca="1">IFERROR(IF(LEN(중요_시점[[#This Row],[일수]])=0,"",IF(AND(AX$5=$E16,$F16=1),중요_시점_표식,"")),"")</f>
        <v/>
      </c>
      <c r="AY16" s="278" t="str">
        <f ca="1">IFERROR(IF(LEN(중요_시점[[#This Row],[일수]])=0,"",IF(AND(AY$5=$E16,$F16=1),중요_시점_표식,"")),"")</f>
        <v/>
      </c>
      <c r="AZ16" s="278" t="str">
        <f ca="1">IFERROR(IF(LEN(중요_시점[[#This Row],[일수]])=0,"",IF(AND(AZ$5=$E16,$F16=1),중요_시점_표식,"")),"")</f>
        <v/>
      </c>
      <c r="BA16" s="278" t="str">
        <f ca="1">IFERROR(IF(LEN(중요_시점[[#This Row],[일수]])=0,"",IF(AND(BA$5=$E16,$F16=1),중요_시점_표식,"")),"")</f>
        <v/>
      </c>
      <c r="BB16" s="278" t="str">
        <f ca="1">IFERROR(IF(LEN(중요_시점[[#This Row],[일수]])=0,"",IF(AND(BB$5=$E16,$F16=1),중요_시점_표식,"")),"")</f>
        <v/>
      </c>
      <c r="BC16" s="278" t="str">
        <f ca="1">IFERROR(IF(LEN(중요_시점[[#This Row],[일수]])=0,"",IF(AND(BC$5=$E16,$F16=1),중요_시점_표식,"")),"")</f>
        <v/>
      </c>
      <c r="BD16" s="278" t="str">
        <f ca="1">IFERROR(IF(LEN(중요_시점[[#This Row],[일수]])=0,"",IF(AND(BD$5=$E16,$F16=1),중요_시점_표식,"")),"")</f>
        <v/>
      </c>
      <c r="BE16" s="278" t="str">
        <f ca="1">IFERROR(IF(LEN(중요_시점[[#This Row],[일수]])=0,"",IF(AND(BE$5=$E16,$F16=1),중요_시점_표식,"")),"")</f>
        <v/>
      </c>
      <c r="BF16" s="278" t="str">
        <f ca="1">IFERROR(IF(LEN(중요_시점[[#This Row],[일수]])=0,"",IF(AND(BF$5=$E16,$F16=1),중요_시점_표식,"")),"")</f>
        <v/>
      </c>
      <c r="BG16" s="278" t="str">
        <f ca="1">IFERROR(IF(LEN(중요_시점[[#This Row],[일수]])=0,"",IF(AND(BG$5=$E16,$F16=1),중요_시점_표식,"")),"")</f>
        <v/>
      </c>
      <c r="BH16" s="278" t="str">
        <f ca="1">IFERROR(IF(LEN(중요_시점[[#This Row],[일수]])=0,"",IF(AND(BH$5=$E16,$F16=1),중요_시점_표식,"")),"")</f>
        <v/>
      </c>
      <c r="BI16" s="278" t="str">
        <f ca="1">IFERROR(IF(LEN(중요_시점[[#This Row],[일수]])=0,"",IF(AND(BI$5=$E16,$F16=1),중요_시점_표식,"")),"")</f>
        <v/>
      </c>
      <c r="BJ16" s="278" t="str">
        <f ca="1">IFERROR(IF(LEN(중요_시점[[#This Row],[일수]])=0,"",IF(AND(BJ$5=$E16,$F16=1),중요_시점_표식,"")),"")</f>
        <v/>
      </c>
      <c r="BK16" s="278" t="str">
        <f ca="1">IFERROR(IF(LEN(중요_시점[[#This Row],[일수]])=0,"",IF(AND(BK$5=$E16,$F16=1),중요_시점_표식,"")),"")</f>
        <v/>
      </c>
    </row>
    <row r="17" spans="1:63" s="279" customFormat="1" ht="30" customHeight="1">
      <c r="A17" s="271"/>
      <c r="B17" s="272" t="s">
        <v>1608</v>
      </c>
      <c r="C17" s="272"/>
      <c r="D17" s="256"/>
      <c r="E17" s="273">
        <f ca="1">TODAY()+15</f>
        <v>44529</v>
      </c>
      <c r="F17" s="274">
        <v>11</v>
      </c>
      <c r="G17" s="277"/>
      <c r="H17" s="278" t="str">
        <f ca="1">IFERROR(IF(LEN(중요_시점[[#This Row],[일수]])=0,"",IF(AND(H$5=$E17,$F17=1),중요_시점_표식,"")),"")</f>
        <v/>
      </c>
      <c r="I17" s="278" t="str">
        <f ca="1">IFERROR(IF(LEN(중요_시점[[#This Row],[일수]])=0,"",IF(AND(I$5=$E17,$F17=1),중요_시점_표식,"")),"")</f>
        <v/>
      </c>
      <c r="J17" s="278" t="str">
        <f ca="1">IFERROR(IF(LEN(중요_시점[[#This Row],[일수]])=0,"",IF(AND(J$5=$E17,$F17=1),중요_시점_표식,"")),"")</f>
        <v/>
      </c>
      <c r="K17" s="278" t="str">
        <f ca="1">IFERROR(IF(LEN(중요_시점[[#This Row],[일수]])=0,"",IF(AND(K$5=$E17,$F17=1),중요_시점_표식,"")),"")</f>
        <v/>
      </c>
      <c r="L17" s="278" t="str">
        <f ca="1">IFERROR(IF(LEN(중요_시점[[#This Row],[일수]])=0,"",IF(AND(L$5=$E17,$F17=1),중요_시점_표식,"")),"")</f>
        <v/>
      </c>
      <c r="M17" s="278" t="str">
        <f ca="1">IFERROR(IF(LEN(중요_시점[[#This Row],[일수]])=0,"",IF(AND(M$5=$E17,$F17=1),중요_시점_표식,"")),"")</f>
        <v/>
      </c>
      <c r="N17" s="278" t="str">
        <f ca="1">IFERROR(IF(LEN(중요_시점[[#This Row],[일수]])=0,"",IF(AND(N$5=$E17,$F17=1),중요_시점_표식,"")),"")</f>
        <v/>
      </c>
      <c r="O17" s="278" t="str">
        <f ca="1">IFERROR(IF(LEN(중요_시점[[#This Row],[일수]])=0,"",IF(AND(O$5=$E17,$F17=1),중요_시점_표식,"")),"")</f>
        <v/>
      </c>
      <c r="P17" s="278" t="str">
        <f ca="1">IFERROR(IF(LEN(중요_시점[[#This Row],[일수]])=0,"",IF(AND(P$5=$E17,$F17=1),중요_시점_표식,"")),"")</f>
        <v/>
      </c>
      <c r="Q17" s="278" t="str">
        <f ca="1">IFERROR(IF(LEN(중요_시점[[#This Row],[일수]])=0,"",IF(AND(Q$5=$E17,$F17=1),중요_시점_표식,"")),"")</f>
        <v/>
      </c>
      <c r="R17" s="278" t="str">
        <f ca="1">IFERROR(IF(LEN(중요_시점[[#This Row],[일수]])=0,"",IF(AND(R$5=$E17,$F17=1),중요_시점_표식,"")),"")</f>
        <v/>
      </c>
      <c r="S17" s="278" t="str">
        <f ca="1">IFERROR(IF(LEN(중요_시점[[#This Row],[일수]])=0,"",IF(AND(S$5=$E17,$F17=1),중요_시점_표식,"")),"")</f>
        <v/>
      </c>
      <c r="T17" s="278" t="str">
        <f ca="1">IFERROR(IF(LEN(중요_시점[[#This Row],[일수]])=0,"",IF(AND(T$5=$E17,$F17=1),중요_시점_표식,"")),"")</f>
        <v/>
      </c>
      <c r="U17" s="278" t="str">
        <f ca="1">IFERROR(IF(LEN(중요_시점[[#This Row],[일수]])=0,"",IF(AND(U$5=$E17,$F17=1),중요_시점_표식,"")),"")</f>
        <v/>
      </c>
      <c r="V17" s="278" t="str">
        <f ca="1">IFERROR(IF(LEN(중요_시점[[#This Row],[일수]])=0,"",IF(AND(V$5=$E17,$F17=1),중요_시점_표식,"")),"")</f>
        <v/>
      </c>
      <c r="W17" s="278" t="str">
        <f ca="1">IFERROR(IF(LEN(중요_시점[[#This Row],[일수]])=0,"",IF(AND(W$5=$E17,$F17=1),중요_시점_표식,"")),"")</f>
        <v/>
      </c>
      <c r="X17" s="278" t="str">
        <f ca="1">IFERROR(IF(LEN(중요_시점[[#This Row],[일수]])=0,"",IF(AND(X$5=$E17,$F17=1),중요_시점_표식,"")),"")</f>
        <v/>
      </c>
      <c r="Y17" s="278" t="str">
        <f ca="1">IFERROR(IF(LEN(중요_시점[[#This Row],[일수]])=0,"",IF(AND(Y$5=$E17,$F17=1),중요_시점_표식,"")),"")</f>
        <v/>
      </c>
      <c r="Z17" s="278" t="str">
        <f ca="1">IFERROR(IF(LEN(중요_시점[[#This Row],[일수]])=0,"",IF(AND(Z$5=$E17,$F17=1),중요_시점_표식,"")),"")</f>
        <v/>
      </c>
      <c r="AA17" s="278" t="str">
        <f ca="1">IFERROR(IF(LEN(중요_시점[[#This Row],[일수]])=0,"",IF(AND(AA$5=$E17,$F17=1),중요_시점_표식,"")),"")</f>
        <v/>
      </c>
      <c r="AB17" s="278" t="str">
        <f ca="1">IFERROR(IF(LEN(중요_시점[[#This Row],[일수]])=0,"",IF(AND(AB$5=$E17,$F17=1),중요_시점_표식,"")),"")</f>
        <v/>
      </c>
      <c r="AC17" s="278" t="str">
        <f ca="1">IFERROR(IF(LEN(중요_시점[[#This Row],[일수]])=0,"",IF(AND(AC$5=$E17,$F17=1),중요_시점_표식,"")),"")</f>
        <v/>
      </c>
      <c r="AD17" s="278" t="str">
        <f ca="1">IFERROR(IF(LEN(중요_시점[[#This Row],[일수]])=0,"",IF(AND(AD$5=$E17,$F17=1),중요_시점_표식,"")),"")</f>
        <v/>
      </c>
      <c r="AE17" s="278" t="str">
        <f ca="1">IFERROR(IF(LEN(중요_시점[[#This Row],[일수]])=0,"",IF(AND(AE$5=$E17,$F17=1),중요_시점_표식,"")),"")</f>
        <v/>
      </c>
      <c r="AF17" s="278" t="str">
        <f ca="1">IFERROR(IF(LEN(중요_시점[[#This Row],[일수]])=0,"",IF(AND(AF$5=$E17,$F17=1),중요_시점_표식,"")),"")</f>
        <v/>
      </c>
      <c r="AG17" s="278" t="str">
        <f ca="1">IFERROR(IF(LEN(중요_시점[[#This Row],[일수]])=0,"",IF(AND(AG$5=$E17,$F17=1),중요_시점_표식,"")),"")</f>
        <v/>
      </c>
      <c r="AH17" s="278" t="str">
        <f ca="1">IFERROR(IF(LEN(중요_시점[[#This Row],[일수]])=0,"",IF(AND(AH$5=$E17,$F17=1),중요_시점_표식,"")),"")</f>
        <v/>
      </c>
      <c r="AI17" s="278" t="str">
        <f ca="1">IFERROR(IF(LEN(중요_시점[[#This Row],[일수]])=0,"",IF(AND(AI$5=$E17,$F17=1),중요_시점_표식,"")),"")</f>
        <v/>
      </c>
      <c r="AJ17" s="278" t="str">
        <f ca="1">IFERROR(IF(LEN(중요_시점[[#This Row],[일수]])=0,"",IF(AND(AJ$5=$E17,$F17=1),중요_시점_표식,"")),"")</f>
        <v/>
      </c>
      <c r="AK17" s="278" t="str">
        <f ca="1">IFERROR(IF(LEN(중요_시점[[#This Row],[일수]])=0,"",IF(AND(AK$5=$E17,$F17=1),중요_시점_표식,"")),"")</f>
        <v/>
      </c>
      <c r="AL17" s="278" t="str">
        <f ca="1">IFERROR(IF(LEN(중요_시점[[#This Row],[일수]])=0,"",IF(AND(AL$5=$E17,$F17=1),중요_시점_표식,"")),"")</f>
        <v/>
      </c>
      <c r="AM17" s="278" t="str">
        <f ca="1">IFERROR(IF(LEN(중요_시점[[#This Row],[일수]])=0,"",IF(AND(AM$5=$E17,$F17=1),중요_시점_표식,"")),"")</f>
        <v/>
      </c>
      <c r="AN17" s="278" t="str">
        <f ca="1">IFERROR(IF(LEN(중요_시점[[#This Row],[일수]])=0,"",IF(AND(AN$5=$E17,$F17=1),중요_시점_표식,"")),"")</f>
        <v/>
      </c>
      <c r="AO17" s="278" t="str">
        <f ca="1">IFERROR(IF(LEN(중요_시점[[#This Row],[일수]])=0,"",IF(AND(AO$5=$E17,$F17=1),중요_시점_표식,"")),"")</f>
        <v/>
      </c>
      <c r="AP17" s="278" t="str">
        <f ca="1">IFERROR(IF(LEN(중요_시점[[#This Row],[일수]])=0,"",IF(AND(AP$5=$E17,$F17=1),중요_시점_표식,"")),"")</f>
        <v/>
      </c>
      <c r="AQ17" s="278" t="str">
        <f ca="1">IFERROR(IF(LEN(중요_시점[[#This Row],[일수]])=0,"",IF(AND(AQ$5=$E17,$F17=1),중요_시점_표식,"")),"")</f>
        <v/>
      </c>
      <c r="AR17" s="278" t="str">
        <f ca="1">IFERROR(IF(LEN(중요_시점[[#This Row],[일수]])=0,"",IF(AND(AR$5=$E17,$F17=1),중요_시점_표식,"")),"")</f>
        <v/>
      </c>
      <c r="AS17" s="278" t="str">
        <f ca="1">IFERROR(IF(LEN(중요_시점[[#This Row],[일수]])=0,"",IF(AND(AS$5=$E17,$F17=1),중요_시점_표식,"")),"")</f>
        <v/>
      </c>
      <c r="AT17" s="278" t="str">
        <f ca="1">IFERROR(IF(LEN(중요_시점[[#This Row],[일수]])=0,"",IF(AND(AT$5=$E17,$F17=1),중요_시점_표식,"")),"")</f>
        <v/>
      </c>
      <c r="AU17" s="278" t="str">
        <f ca="1">IFERROR(IF(LEN(중요_시점[[#This Row],[일수]])=0,"",IF(AND(AU$5=$E17,$F17=1),중요_시점_표식,"")),"")</f>
        <v/>
      </c>
      <c r="AV17" s="278" t="str">
        <f ca="1">IFERROR(IF(LEN(중요_시점[[#This Row],[일수]])=0,"",IF(AND(AV$5=$E17,$F17=1),중요_시점_표식,"")),"")</f>
        <v/>
      </c>
      <c r="AW17" s="278" t="str">
        <f ca="1">IFERROR(IF(LEN(중요_시점[[#This Row],[일수]])=0,"",IF(AND(AW$5=$E17,$F17=1),중요_시점_표식,"")),"")</f>
        <v/>
      </c>
      <c r="AX17" s="278" t="str">
        <f ca="1">IFERROR(IF(LEN(중요_시점[[#This Row],[일수]])=0,"",IF(AND(AX$5=$E17,$F17=1),중요_시점_표식,"")),"")</f>
        <v/>
      </c>
      <c r="AY17" s="278" t="str">
        <f ca="1">IFERROR(IF(LEN(중요_시점[[#This Row],[일수]])=0,"",IF(AND(AY$5=$E17,$F17=1),중요_시점_표식,"")),"")</f>
        <v/>
      </c>
      <c r="AZ17" s="278" t="str">
        <f ca="1">IFERROR(IF(LEN(중요_시점[[#This Row],[일수]])=0,"",IF(AND(AZ$5=$E17,$F17=1),중요_시점_표식,"")),"")</f>
        <v/>
      </c>
      <c r="BA17" s="278" t="str">
        <f ca="1">IFERROR(IF(LEN(중요_시점[[#This Row],[일수]])=0,"",IF(AND(BA$5=$E17,$F17=1),중요_시점_표식,"")),"")</f>
        <v/>
      </c>
      <c r="BB17" s="278" t="str">
        <f ca="1">IFERROR(IF(LEN(중요_시점[[#This Row],[일수]])=0,"",IF(AND(BB$5=$E17,$F17=1),중요_시점_표식,"")),"")</f>
        <v/>
      </c>
      <c r="BC17" s="278" t="str">
        <f ca="1">IFERROR(IF(LEN(중요_시점[[#This Row],[일수]])=0,"",IF(AND(BC$5=$E17,$F17=1),중요_시점_표식,"")),"")</f>
        <v/>
      </c>
      <c r="BD17" s="278" t="str">
        <f ca="1">IFERROR(IF(LEN(중요_시점[[#This Row],[일수]])=0,"",IF(AND(BD$5=$E17,$F17=1),중요_시점_표식,"")),"")</f>
        <v/>
      </c>
      <c r="BE17" s="278" t="str">
        <f ca="1">IFERROR(IF(LEN(중요_시점[[#This Row],[일수]])=0,"",IF(AND(BE$5=$E17,$F17=1),중요_시점_표식,"")),"")</f>
        <v/>
      </c>
      <c r="BF17" s="278" t="str">
        <f ca="1">IFERROR(IF(LEN(중요_시점[[#This Row],[일수]])=0,"",IF(AND(BF$5=$E17,$F17=1),중요_시점_표식,"")),"")</f>
        <v/>
      </c>
      <c r="BG17" s="278" t="str">
        <f ca="1">IFERROR(IF(LEN(중요_시점[[#This Row],[일수]])=0,"",IF(AND(BG$5=$E17,$F17=1),중요_시점_표식,"")),"")</f>
        <v/>
      </c>
      <c r="BH17" s="278" t="str">
        <f ca="1">IFERROR(IF(LEN(중요_시점[[#This Row],[일수]])=0,"",IF(AND(BH$5=$E17,$F17=1),중요_시점_표식,"")),"")</f>
        <v/>
      </c>
      <c r="BI17" s="278" t="str">
        <f ca="1">IFERROR(IF(LEN(중요_시점[[#This Row],[일수]])=0,"",IF(AND(BI$5=$E17,$F17=1),중요_시점_표식,"")),"")</f>
        <v/>
      </c>
      <c r="BJ17" s="278" t="str">
        <f ca="1">IFERROR(IF(LEN(중요_시점[[#This Row],[일수]])=0,"",IF(AND(BJ$5=$E17,$F17=1),중요_시점_표식,"")),"")</f>
        <v/>
      </c>
      <c r="BK17" s="278" t="str">
        <f ca="1">IFERROR(IF(LEN(중요_시점[[#This Row],[일수]])=0,"",IF(AND(BK$5=$E17,$F17=1),중요_시점_표식,"")),"")</f>
        <v/>
      </c>
    </row>
    <row r="18" spans="1:63" s="279" customFormat="1" ht="30" customHeight="1">
      <c r="A18" s="271"/>
      <c r="B18" s="272" t="s">
        <v>1609</v>
      </c>
      <c r="C18" s="272"/>
      <c r="D18" s="256"/>
      <c r="E18" s="273">
        <f ca="1">TODAY()+24</f>
        <v>44538</v>
      </c>
      <c r="F18" s="274">
        <v>1</v>
      </c>
      <c r="G18" s="277"/>
      <c r="H18" s="278" t="str">
        <f ca="1">IFERROR(IF(LEN(중요_시점[[#This Row],[일수]])=0,"",IF(AND(H$5=$E18,$F18=1),중요_시점_표식,"")),"")</f>
        <v/>
      </c>
      <c r="I18" s="278" t="str">
        <f ca="1">IFERROR(IF(LEN(중요_시점[[#This Row],[일수]])=0,"",IF(AND(I$5=$E18,$F18=1),중요_시점_표식,"")),"")</f>
        <v/>
      </c>
      <c r="J18" s="278" t="str">
        <f ca="1">IFERROR(IF(LEN(중요_시점[[#This Row],[일수]])=0,"",IF(AND(J$5=$E18,$F18=1),중요_시점_표식,"")),"")</f>
        <v/>
      </c>
      <c r="K18" s="278" t="str">
        <f ca="1">IFERROR(IF(LEN(중요_시점[[#This Row],[일수]])=0,"",IF(AND(K$5=$E18,$F18=1),중요_시점_표식,"")),"")</f>
        <v/>
      </c>
      <c r="L18" s="278" t="str">
        <f ca="1">IFERROR(IF(LEN(중요_시점[[#This Row],[일수]])=0,"",IF(AND(L$5=$E18,$F18=1),중요_시점_표식,"")),"")</f>
        <v/>
      </c>
      <c r="M18" s="278" t="str">
        <f ca="1">IFERROR(IF(LEN(중요_시점[[#This Row],[일수]])=0,"",IF(AND(M$5=$E18,$F18=1),중요_시점_표식,"")),"")</f>
        <v/>
      </c>
      <c r="N18" s="278" t="str">
        <f ca="1">IFERROR(IF(LEN(중요_시점[[#This Row],[일수]])=0,"",IF(AND(N$5=$E18,$F18=1),중요_시점_표식,"")),"")</f>
        <v/>
      </c>
      <c r="O18" s="278" t="str">
        <f ca="1">IFERROR(IF(LEN(중요_시점[[#This Row],[일수]])=0,"",IF(AND(O$5=$E18,$F18=1),중요_시점_표식,"")),"")</f>
        <v/>
      </c>
      <c r="P18" s="278" t="str">
        <f ca="1">IFERROR(IF(LEN(중요_시점[[#This Row],[일수]])=0,"",IF(AND(P$5=$E18,$F18=1),중요_시점_표식,"")),"")</f>
        <v/>
      </c>
      <c r="Q18" s="278" t="str">
        <f ca="1">IFERROR(IF(LEN(중요_시점[[#This Row],[일수]])=0,"",IF(AND(Q$5=$E18,$F18=1),중요_시점_표식,"")),"")</f>
        <v/>
      </c>
      <c r="R18" s="278" t="str">
        <f ca="1">IFERROR(IF(LEN(중요_시점[[#This Row],[일수]])=0,"",IF(AND(R$5=$E18,$F18=1),중요_시점_표식,"")),"")</f>
        <v/>
      </c>
      <c r="S18" s="278" t="str">
        <f ca="1">IFERROR(IF(LEN(중요_시점[[#This Row],[일수]])=0,"",IF(AND(S$5=$E18,$F18=1),중요_시점_표식,"")),"")</f>
        <v/>
      </c>
      <c r="T18" s="278" t="str">
        <f ca="1">IFERROR(IF(LEN(중요_시점[[#This Row],[일수]])=0,"",IF(AND(T$5=$E18,$F18=1),중요_시점_표식,"")),"")</f>
        <v/>
      </c>
      <c r="U18" s="278" t="str">
        <f ca="1">IFERROR(IF(LEN(중요_시점[[#This Row],[일수]])=0,"",IF(AND(U$5=$E18,$F18=1),중요_시점_표식,"")),"")</f>
        <v/>
      </c>
      <c r="V18" s="278" t="str">
        <f ca="1">IFERROR(IF(LEN(중요_시점[[#This Row],[일수]])=0,"",IF(AND(V$5=$E18,$F18=1),중요_시점_표식,"")),"")</f>
        <v/>
      </c>
      <c r="W18" s="278" t="str">
        <f ca="1">IFERROR(IF(LEN(중요_시점[[#This Row],[일수]])=0,"",IF(AND(W$5=$E18,$F18=1),중요_시점_표식,"")),"")</f>
        <v/>
      </c>
      <c r="X18" s="278" t="str">
        <f ca="1">IFERROR(IF(LEN(중요_시점[[#This Row],[일수]])=0,"",IF(AND(X$5=$E18,$F18=1),중요_시점_표식,"")),"")</f>
        <v/>
      </c>
      <c r="Y18" s="278">
        <f ca="1">IFERROR(IF(LEN(중요_시점[[#This Row],[일수]])=0,"",IF(AND(Y$5=$E18,$F18=1),중요_시점_표식,"")),"")</f>
        <v>1</v>
      </c>
      <c r="Z18" s="278" t="str">
        <f ca="1">IFERROR(IF(LEN(중요_시점[[#This Row],[일수]])=0,"",IF(AND(Z$5=$E18,$F18=1),중요_시점_표식,"")),"")</f>
        <v/>
      </c>
      <c r="AA18" s="278" t="str">
        <f ca="1">IFERROR(IF(LEN(중요_시점[[#This Row],[일수]])=0,"",IF(AND(AA$5=$E18,$F18=1),중요_시점_표식,"")),"")</f>
        <v/>
      </c>
      <c r="AB18" s="278" t="str">
        <f ca="1">IFERROR(IF(LEN(중요_시점[[#This Row],[일수]])=0,"",IF(AND(AB$5=$E18,$F18=1),중요_시점_표식,"")),"")</f>
        <v/>
      </c>
      <c r="AC18" s="278" t="str">
        <f ca="1">IFERROR(IF(LEN(중요_시점[[#This Row],[일수]])=0,"",IF(AND(AC$5=$E18,$F18=1),중요_시점_표식,"")),"")</f>
        <v/>
      </c>
      <c r="AD18" s="278" t="str">
        <f ca="1">IFERROR(IF(LEN(중요_시점[[#This Row],[일수]])=0,"",IF(AND(AD$5=$E18,$F18=1),중요_시점_표식,"")),"")</f>
        <v/>
      </c>
      <c r="AE18" s="278" t="str">
        <f ca="1">IFERROR(IF(LEN(중요_시점[[#This Row],[일수]])=0,"",IF(AND(AE$5=$E18,$F18=1),중요_시점_표식,"")),"")</f>
        <v/>
      </c>
      <c r="AF18" s="278" t="str">
        <f ca="1">IFERROR(IF(LEN(중요_시점[[#This Row],[일수]])=0,"",IF(AND(AF$5=$E18,$F18=1),중요_시점_표식,"")),"")</f>
        <v/>
      </c>
      <c r="AG18" s="278" t="str">
        <f ca="1">IFERROR(IF(LEN(중요_시점[[#This Row],[일수]])=0,"",IF(AND(AG$5=$E18,$F18=1),중요_시점_표식,"")),"")</f>
        <v/>
      </c>
      <c r="AH18" s="278" t="str">
        <f ca="1">IFERROR(IF(LEN(중요_시점[[#This Row],[일수]])=0,"",IF(AND(AH$5=$E18,$F18=1),중요_시점_표식,"")),"")</f>
        <v/>
      </c>
      <c r="AI18" s="278" t="str">
        <f ca="1">IFERROR(IF(LEN(중요_시점[[#This Row],[일수]])=0,"",IF(AND(AI$5=$E18,$F18=1),중요_시점_표식,"")),"")</f>
        <v/>
      </c>
      <c r="AJ18" s="278" t="str">
        <f ca="1">IFERROR(IF(LEN(중요_시점[[#This Row],[일수]])=0,"",IF(AND(AJ$5=$E18,$F18=1),중요_시점_표식,"")),"")</f>
        <v/>
      </c>
      <c r="AK18" s="278" t="str">
        <f ca="1">IFERROR(IF(LEN(중요_시점[[#This Row],[일수]])=0,"",IF(AND(AK$5=$E18,$F18=1),중요_시점_표식,"")),"")</f>
        <v/>
      </c>
      <c r="AL18" s="278" t="str">
        <f ca="1">IFERROR(IF(LEN(중요_시점[[#This Row],[일수]])=0,"",IF(AND(AL$5=$E18,$F18=1),중요_시점_표식,"")),"")</f>
        <v/>
      </c>
      <c r="AM18" s="278" t="str">
        <f ca="1">IFERROR(IF(LEN(중요_시점[[#This Row],[일수]])=0,"",IF(AND(AM$5=$E18,$F18=1),중요_시점_표식,"")),"")</f>
        <v/>
      </c>
      <c r="AN18" s="278" t="str">
        <f ca="1">IFERROR(IF(LEN(중요_시점[[#This Row],[일수]])=0,"",IF(AND(AN$5=$E18,$F18=1),중요_시점_표식,"")),"")</f>
        <v/>
      </c>
      <c r="AO18" s="278" t="str">
        <f ca="1">IFERROR(IF(LEN(중요_시점[[#This Row],[일수]])=0,"",IF(AND(AO$5=$E18,$F18=1),중요_시점_표식,"")),"")</f>
        <v/>
      </c>
      <c r="AP18" s="278" t="str">
        <f ca="1">IFERROR(IF(LEN(중요_시점[[#This Row],[일수]])=0,"",IF(AND(AP$5=$E18,$F18=1),중요_시점_표식,"")),"")</f>
        <v/>
      </c>
      <c r="AQ18" s="278" t="str">
        <f ca="1">IFERROR(IF(LEN(중요_시점[[#This Row],[일수]])=0,"",IF(AND(AQ$5=$E18,$F18=1),중요_시점_표식,"")),"")</f>
        <v/>
      </c>
      <c r="AR18" s="278" t="str">
        <f ca="1">IFERROR(IF(LEN(중요_시점[[#This Row],[일수]])=0,"",IF(AND(AR$5=$E18,$F18=1),중요_시점_표식,"")),"")</f>
        <v/>
      </c>
      <c r="AS18" s="278" t="str">
        <f ca="1">IFERROR(IF(LEN(중요_시점[[#This Row],[일수]])=0,"",IF(AND(AS$5=$E18,$F18=1),중요_시점_표식,"")),"")</f>
        <v/>
      </c>
      <c r="AT18" s="278" t="str">
        <f ca="1">IFERROR(IF(LEN(중요_시점[[#This Row],[일수]])=0,"",IF(AND(AT$5=$E18,$F18=1),중요_시점_표식,"")),"")</f>
        <v/>
      </c>
      <c r="AU18" s="278" t="str">
        <f ca="1">IFERROR(IF(LEN(중요_시점[[#This Row],[일수]])=0,"",IF(AND(AU$5=$E18,$F18=1),중요_시점_표식,"")),"")</f>
        <v/>
      </c>
      <c r="AV18" s="278" t="str">
        <f ca="1">IFERROR(IF(LEN(중요_시점[[#This Row],[일수]])=0,"",IF(AND(AV$5=$E18,$F18=1),중요_시점_표식,"")),"")</f>
        <v/>
      </c>
      <c r="AW18" s="278" t="str">
        <f ca="1">IFERROR(IF(LEN(중요_시점[[#This Row],[일수]])=0,"",IF(AND(AW$5=$E18,$F18=1),중요_시점_표식,"")),"")</f>
        <v/>
      </c>
      <c r="AX18" s="278" t="str">
        <f ca="1">IFERROR(IF(LEN(중요_시점[[#This Row],[일수]])=0,"",IF(AND(AX$5=$E18,$F18=1),중요_시점_표식,"")),"")</f>
        <v/>
      </c>
      <c r="AY18" s="278" t="str">
        <f ca="1">IFERROR(IF(LEN(중요_시점[[#This Row],[일수]])=0,"",IF(AND(AY$5=$E18,$F18=1),중요_시점_표식,"")),"")</f>
        <v/>
      </c>
      <c r="AZ18" s="278" t="str">
        <f ca="1">IFERROR(IF(LEN(중요_시점[[#This Row],[일수]])=0,"",IF(AND(AZ$5=$E18,$F18=1),중요_시점_표식,"")),"")</f>
        <v/>
      </c>
      <c r="BA18" s="278" t="str">
        <f ca="1">IFERROR(IF(LEN(중요_시점[[#This Row],[일수]])=0,"",IF(AND(BA$5=$E18,$F18=1),중요_시점_표식,"")),"")</f>
        <v/>
      </c>
      <c r="BB18" s="278" t="str">
        <f ca="1">IFERROR(IF(LEN(중요_시점[[#This Row],[일수]])=0,"",IF(AND(BB$5=$E18,$F18=1),중요_시점_표식,"")),"")</f>
        <v/>
      </c>
      <c r="BC18" s="278" t="str">
        <f ca="1">IFERROR(IF(LEN(중요_시점[[#This Row],[일수]])=0,"",IF(AND(BC$5=$E18,$F18=1),중요_시점_표식,"")),"")</f>
        <v/>
      </c>
      <c r="BD18" s="278" t="str">
        <f ca="1">IFERROR(IF(LEN(중요_시점[[#This Row],[일수]])=0,"",IF(AND(BD$5=$E18,$F18=1),중요_시점_표식,"")),"")</f>
        <v/>
      </c>
      <c r="BE18" s="278" t="str">
        <f ca="1">IFERROR(IF(LEN(중요_시점[[#This Row],[일수]])=0,"",IF(AND(BE$5=$E18,$F18=1),중요_시점_표식,"")),"")</f>
        <v/>
      </c>
      <c r="BF18" s="278" t="str">
        <f ca="1">IFERROR(IF(LEN(중요_시점[[#This Row],[일수]])=0,"",IF(AND(BF$5=$E18,$F18=1),중요_시점_표식,"")),"")</f>
        <v/>
      </c>
      <c r="BG18" s="278" t="str">
        <f ca="1">IFERROR(IF(LEN(중요_시점[[#This Row],[일수]])=0,"",IF(AND(BG$5=$E18,$F18=1),중요_시점_표식,"")),"")</f>
        <v/>
      </c>
      <c r="BH18" s="278" t="str">
        <f ca="1">IFERROR(IF(LEN(중요_시점[[#This Row],[일수]])=0,"",IF(AND(BH$5=$E18,$F18=1),중요_시점_표식,"")),"")</f>
        <v/>
      </c>
      <c r="BI18" s="278" t="str">
        <f ca="1">IFERROR(IF(LEN(중요_시점[[#This Row],[일수]])=0,"",IF(AND(BI$5=$E18,$F18=1),중요_시점_표식,"")),"")</f>
        <v/>
      </c>
      <c r="BJ18" s="278" t="str">
        <f ca="1">IFERROR(IF(LEN(중요_시점[[#This Row],[일수]])=0,"",IF(AND(BJ$5=$E18,$F18=1),중요_시점_표식,"")),"")</f>
        <v/>
      </c>
      <c r="BK18" s="278" t="str">
        <f ca="1">IFERROR(IF(LEN(중요_시점[[#This Row],[일수]])=0,"",IF(AND(BK$5=$E18,$F18=1),중요_시점_표식,"")),"")</f>
        <v/>
      </c>
    </row>
    <row r="19" spans="1:63" s="279" customFormat="1" ht="30" customHeight="1">
      <c r="A19" s="271"/>
      <c r="B19" s="272" t="s">
        <v>1610</v>
      </c>
      <c r="C19" s="272"/>
      <c r="D19" s="256"/>
      <c r="E19" s="273">
        <f ca="1">TODAY()+25</f>
        <v>44539</v>
      </c>
      <c r="F19" s="274">
        <v>24</v>
      </c>
      <c r="G19" s="277"/>
      <c r="H19" s="278" t="str">
        <f ca="1">IFERROR(IF(LEN(중요_시점[[#This Row],[일수]])=0,"",IF(AND(H$5=$E19,$F19=1),중요_시점_표식,"")),"")</f>
        <v/>
      </c>
      <c r="I19" s="278" t="str">
        <f ca="1">IFERROR(IF(LEN(중요_시점[[#This Row],[일수]])=0,"",IF(AND(I$5=$E19,$F19=1),중요_시점_표식,"")),"")</f>
        <v/>
      </c>
      <c r="J19" s="278" t="str">
        <f ca="1">IFERROR(IF(LEN(중요_시점[[#This Row],[일수]])=0,"",IF(AND(J$5=$E19,$F19=1),중요_시점_표식,"")),"")</f>
        <v/>
      </c>
      <c r="K19" s="278" t="str">
        <f ca="1">IFERROR(IF(LEN(중요_시점[[#This Row],[일수]])=0,"",IF(AND(K$5=$E19,$F19=1),중요_시점_표식,"")),"")</f>
        <v/>
      </c>
      <c r="L19" s="278" t="str">
        <f ca="1">IFERROR(IF(LEN(중요_시점[[#This Row],[일수]])=0,"",IF(AND(L$5=$E19,$F19=1),중요_시점_표식,"")),"")</f>
        <v/>
      </c>
      <c r="M19" s="278" t="str">
        <f ca="1">IFERROR(IF(LEN(중요_시점[[#This Row],[일수]])=0,"",IF(AND(M$5=$E19,$F19=1),중요_시점_표식,"")),"")</f>
        <v/>
      </c>
      <c r="N19" s="278" t="str">
        <f ca="1">IFERROR(IF(LEN(중요_시점[[#This Row],[일수]])=0,"",IF(AND(N$5=$E19,$F19=1),중요_시점_표식,"")),"")</f>
        <v/>
      </c>
      <c r="O19" s="278" t="str">
        <f ca="1">IFERROR(IF(LEN(중요_시점[[#This Row],[일수]])=0,"",IF(AND(O$5=$E19,$F19=1),중요_시점_표식,"")),"")</f>
        <v/>
      </c>
      <c r="P19" s="278" t="str">
        <f ca="1">IFERROR(IF(LEN(중요_시점[[#This Row],[일수]])=0,"",IF(AND(P$5=$E19,$F19=1),중요_시점_표식,"")),"")</f>
        <v/>
      </c>
      <c r="Q19" s="278" t="str">
        <f ca="1">IFERROR(IF(LEN(중요_시점[[#This Row],[일수]])=0,"",IF(AND(Q$5=$E19,$F19=1),중요_시점_표식,"")),"")</f>
        <v/>
      </c>
      <c r="R19" s="278" t="str">
        <f ca="1">IFERROR(IF(LEN(중요_시점[[#This Row],[일수]])=0,"",IF(AND(R$5=$E19,$F19=1),중요_시점_표식,"")),"")</f>
        <v/>
      </c>
      <c r="S19" s="278" t="str">
        <f ca="1">IFERROR(IF(LEN(중요_시점[[#This Row],[일수]])=0,"",IF(AND(S$5=$E19,$F19=1),중요_시점_표식,"")),"")</f>
        <v/>
      </c>
      <c r="T19" s="278" t="str">
        <f ca="1">IFERROR(IF(LEN(중요_시점[[#This Row],[일수]])=0,"",IF(AND(T$5=$E19,$F19=1),중요_시점_표식,"")),"")</f>
        <v/>
      </c>
      <c r="U19" s="278" t="str">
        <f ca="1">IFERROR(IF(LEN(중요_시점[[#This Row],[일수]])=0,"",IF(AND(U$5=$E19,$F19=1),중요_시점_표식,"")),"")</f>
        <v/>
      </c>
      <c r="V19" s="278" t="str">
        <f ca="1">IFERROR(IF(LEN(중요_시점[[#This Row],[일수]])=0,"",IF(AND(V$5=$E19,$F19=1),중요_시점_표식,"")),"")</f>
        <v/>
      </c>
      <c r="W19" s="278" t="str">
        <f ca="1">IFERROR(IF(LEN(중요_시점[[#This Row],[일수]])=0,"",IF(AND(W$5=$E19,$F19=1),중요_시점_표식,"")),"")</f>
        <v/>
      </c>
      <c r="X19" s="278" t="str">
        <f ca="1">IFERROR(IF(LEN(중요_시점[[#This Row],[일수]])=0,"",IF(AND(X$5=$E19,$F19=1),중요_시점_표식,"")),"")</f>
        <v/>
      </c>
      <c r="Y19" s="278" t="str">
        <f ca="1">IFERROR(IF(LEN(중요_시점[[#This Row],[일수]])=0,"",IF(AND(Y$5=$E19,$F19=1),중요_시점_표식,"")),"")</f>
        <v/>
      </c>
      <c r="Z19" s="278" t="str">
        <f ca="1">IFERROR(IF(LEN(중요_시점[[#This Row],[일수]])=0,"",IF(AND(Z$5=$E19,$F19=1),중요_시점_표식,"")),"")</f>
        <v/>
      </c>
      <c r="AA19" s="278" t="str">
        <f ca="1">IFERROR(IF(LEN(중요_시점[[#This Row],[일수]])=0,"",IF(AND(AA$5=$E19,$F19=1),중요_시점_표식,"")),"")</f>
        <v/>
      </c>
      <c r="AB19" s="278" t="str">
        <f ca="1">IFERROR(IF(LEN(중요_시점[[#This Row],[일수]])=0,"",IF(AND(AB$5=$E19,$F19=1),중요_시점_표식,"")),"")</f>
        <v/>
      </c>
      <c r="AC19" s="278" t="str">
        <f ca="1">IFERROR(IF(LEN(중요_시점[[#This Row],[일수]])=0,"",IF(AND(AC$5=$E19,$F19=1),중요_시점_표식,"")),"")</f>
        <v/>
      </c>
      <c r="AD19" s="278" t="str">
        <f ca="1">IFERROR(IF(LEN(중요_시점[[#This Row],[일수]])=0,"",IF(AND(AD$5=$E19,$F19=1),중요_시점_표식,"")),"")</f>
        <v/>
      </c>
      <c r="AE19" s="278" t="str">
        <f ca="1">IFERROR(IF(LEN(중요_시점[[#This Row],[일수]])=0,"",IF(AND(AE$5=$E19,$F19=1),중요_시점_표식,"")),"")</f>
        <v/>
      </c>
      <c r="AF19" s="278" t="str">
        <f ca="1">IFERROR(IF(LEN(중요_시점[[#This Row],[일수]])=0,"",IF(AND(AF$5=$E19,$F19=1),중요_시점_표식,"")),"")</f>
        <v/>
      </c>
      <c r="AG19" s="278" t="str">
        <f ca="1">IFERROR(IF(LEN(중요_시점[[#This Row],[일수]])=0,"",IF(AND(AG$5=$E19,$F19=1),중요_시점_표식,"")),"")</f>
        <v/>
      </c>
      <c r="AH19" s="278" t="str">
        <f ca="1">IFERROR(IF(LEN(중요_시점[[#This Row],[일수]])=0,"",IF(AND(AH$5=$E19,$F19=1),중요_시점_표식,"")),"")</f>
        <v/>
      </c>
      <c r="AI19" s="278" t="str">
        <f ca="1">IFERROR(IF(LEN(중요_시점[[#This Row],[일수]])=0,"",IF(AND(AI$5=$E19,$F19=1),중요_시점_표식,"")),"")</f>
        <v/>
      </c>
      <c r="AJ19" s="278" t="str">
        <f ca="1">IFERROR(IF(LEN(중요_시점[[#This Row],[일수]])=0,"",IF(AND(AJ$5=$E19,$F19=1),중요_시점_표식,"")),"")</f>
        <v/>
      </c>
      <c r="AK19" s="278" t="str">
        <f ca="1">IFERROR(IF(LEN(중요_시점[[#This Row],[일수]])=0,"",IF(AND(AK$5=$E19,$F19=1),중요_시점_표식,"")),"")</f>
        <v/>
      </c>
      <c r="AL19" s="278" t="str">
        <f ca="1">IFERROR(IF(LEN(중요_시점[[#This Row],[일수]])=0,"",IF(AND(AL$5=$E19,$F19=1),중요_시점_표식,"")),"")</f>
        <v/>
      </c>
      <c r="AM19" s="278" t="str">
        <f ca="1">IFERROR(IF(LEN(중요_시점[[#This Row],[일수]])=0,"",IF(AND(AM$5=$E19,$F19=1),중요_시점_표식,"")),"")</f>
        <v/>
      </c>
      <c r="AN19" s="278" t="str">
        <f ca="1">IFERROR(IF(LEN(중요_시점[[#This Row],[일수]])=0,"",IF(AND(AN$5=$E19,$F19=1),중요_시점_표식,"")),"")</f>
        <v/>
      </c>
      <c r="AO19" s="278" t="str">
        <f ca="1">IFERROR(IF(LEN(중요_시점[[#This Row],[일수]])=0,"",IF(AND(AO$5=$E19,$F19=1),중요_시점_표식,"")),"")</f>
        <v/>
      </c>
      <c r="AP19" s="278" t="str">
        <f ca="1">IFERROR(IF(LEN(중요_시점[[#This Row],[일수]])=0,"",IF(AND(AP$5=$E19,$F19=1),중요_시점_표식,"")),"")</f>
        <v/>
      </c>
      <c r="AQ19" s="278" t="str">
        <f ca="1">IFERROR(IF(LEN(중요_시점[[#This Row],[일수]])=0,"",IF(AND(AQ$5=$E19,$F19=1),중요_시점_표식,"")),"")</f>
        <v/>
      </c>
      <c r="AR19" s="278" t="str">
        <f ca="1">IFERROR(IF(LEN(중요_시점[[#This Row],[일수]])=0,"",IF(AND(AR$5=$E19,$F19=1),중요_시점_표식,"")),"")</f>
        <v/>
      </c>
      <c r="AS19" s="278" t="str">
        <f ca="1">IFERROR(IF(LEN(중요_시점[[#This Row],[일수]])=0,"",IF(AND(AS$5=$E19,$F19=1),중요_시점_표식,"")),"")</f>
        <v/>
      </c>
      <c r="AT19" s="278" t="str">
        <f ca="1">IFERROR(IF(LEN(중요_시점[[#This Row],[일수]])=0,"",IF(AND(AT$5=$E19,$F19=1),중요_시점_표식,"")),"")</f>
        <v/>
      </c>
      <c r="AU19" s="278" t="str">
        <f ca="1">IFERROR(IF(LEN(중요_시점[[#This Row],[일수]])=0,"",IF(AND(AU$5=$E19,$F19=1),중요_시점_표식,"")),"")</f>
        <v/>
      </c>
      <c r="AV19" s="278" t="str">
        <f ca="1">IFERROR(IF(LEN(중요_시점[[#This Row],[일수]])=0,"",IF(AND(AV$5=$E19,$F19=1),중요_시점_표식,"")),"")</f>
        <v/>
      </c>
      <c r="AW19" s="278" t="str">
        <f ca="1">IFERROR(IF(LEN(중요_시점[[#This Row],[일수]])=0,"",IF(AND(AW$5=$E19,$F19=1),중요_시점_표식,"")),"")</f>
        <v/>
      </c>
      <c r="AX19" s="278" t="str">
        <f ca="1">IFERROR(IF(LEN(중요_시점[[#This Row],[일수]])=0,"",IF(AND(AX$5=$E19,$F19=1),중요_시점_표식,"")),"")</f>
        <v/>
      </c>
      <c r="AY19" s="278" t="str">
        <f ca="1">IFERROR(IF(LEN(중요_시점[[#This Row],[일수]])=0,"",IF(AND(AY$5=$E19,$F19=1),중요_시점_표식,"")),"")</f>
        <v/>
      </c>
      <c r="AZ19" s="278" t="str">
        <f ca="1">IFERROR(IF(LEN(중요_시점[[#This Row],[일수]])=0,"",IF(AND(AZ$5=$E19,$F19=1),중요_시점_표식,"")),"")</f>
        <v/>
      </c>
      <c r="BA19" s="278" t="str">
        <f ca="1">IFERROR(IF(LEN(중요_시점[[#This Row],[일수]])=0,"",IF(AND(BA$5=$E19,$F19=1),중요_시점_표식,"")),"")</f>
        <v/>
      </c>
      <c r="BB19" s="278" t="str">
        <f ca="1">IFERROR(IF(LEN(중요_시점[[#This Row],[일수]])=0,"",IF(AND(BB$5=$E19,$F19=1),중요_시점_표식,"")),"")</f>
        <v/>
      </c>
      <c r="BC19" s="278" t="str">
        <f ca="1">IFERROR(IF(LEN(중요_시점[[#This Row],[일수]])=0,"",IF(AND(BC$5=$E19,$F19=1),중요_시점_표식,"")),"")</f>
        <v/>
      </c>
      <c r="BD19" s="278" t="str">
        <f ca="1">IFERROR(IF(LEN(중요_시점[[#This Row],[일수]])=0,"",IF(AND(BD$5=$E19,$F19=1),중요_시점_표식,"")),"")</f>
        <v/>
      </c>
      <c r="BE19" s="278" t="str">
        <f ca="1">IFERROR(IF(LEN(중요_시점[[#This Row],[일수]])=0,"",IF(AND(BE$5=$E19,$F19=1),중요_시점_표식,"")),"")</f>
        <v/>
      </c>
      <c r="BF19" s="278" t="str">
        <f ca="1">IFERROR(IF(LEN(중요_시점[[#This Row],[일수]])=0,"",IF(AND(BF$5=$E19,$F19=1),중요_시점_표식,"")),"")</f>
        <v/>
      </c>
      <c r="BG19" s="278" t="str">
        <f ca="1">IFERROR(IF(LEN(중요_시점[[#This Row],[일수]])=0,"",IF(AND(BG$5=$E19,$F19=1),중요_시점_표식,"")),"")</f>
        <v/>
      </c>
      <c r="BH19" s="278" t="str">
        <f ca="1">IFERROR(IF(LEN(중요_시점[[#This Row],[일수]])=0,"",IF(AND(BH$5=$E19,$F19=1),중요_시점_표식,"")),"")</f>
        <v/>
      </c>
      <c r="BI19" s="278" t="str">
        <f ca="1">IFERROR(IF(LEN(중요_시점[[#This Row],[일수]])=0,"",IF(AND(BI$5=$E19,$F19=1),중요_시점_표식,"")),"")</f>
        <v/>
      </c>
      <c r="BJ19" s="278" t="str">
        <f ca="1">IFERROR(IF(LEN(중요_시점[[#This Row],[일수]])=0,"",IF(AND(BJ$5=$E19,$F19=1),중요_시점_표식,"")),"")</f>
        <v/>
      </c>
      <c r="BK19" s="278" t="str">
        <f ca="1">IFERROR(IF(LEN(중요_시점[[#This Row],[일수]])=0,"",IF(AND(BK$5=$E19,$F19=1),중요_시점_표식,"")),"")</f>
        <v/>
      </c>
    </row>
    <row r="20" spans="1:63" s="279" customFormat="1" ht="30" customHeight="1">
      <c r="A20" s="271"/>
      <c r="B20" s="276" t="s">
        <v>1613</v>
      </c>
      <c r="C20" s="276"/>
      <c r="D20" s="256"/>
      <c r="E20" s="273"/>
      <c r="F20" s="274"/>
      <c r="G20" s="277"/>
      <c r="H20" s="278" t="str">
        <f>IFERROR(IF(LEN(중요_시점[[#This Row],[일수]])=0,"",IF(AND(H$5=$E20,$F20=1),중요_시점_표식,"")),"")</f>
        <v/>
      </c>
      <c r="I20" s="278" t="str">
        <f>IFERROR(IF(LEN(중요_시점[[#This Row],[일수]])=0,"",IF(AND(I$5=$E20,$F20=1),중요_시점_표식,"")),"")</f>
        <v/>
      </c>
      <c r="J20" s="278" t="str">
        <f>IFERROR(IF(LEN(중요_시점[[#This Row],[일수]])=0,"",IF(AND(J$5=$E20,$F20=1),중요_시점_표식,"")),"")</f>
        <v/>
      </c>
      <c r="K20" s="278" t="str">
        <f>IFERROR(IF(LEN(중요_시점[[#This Row],[일수]])=0,"",IF(AND(K$5=$E20,$F20=1),중요_시점_표식,"")),"")</f>
        <v/>
      </c>
      <c r="L20" s="278" t="str">
        <f>IFERROR(IF(LEN(중요_시점[[#This Row],[일수]])=0,"",IF(AND(L$5=$E20,$F20=1),중요_시점_표식,"")),"")</f>
        <v/>
      </c>
      <c r="M20" s="278" t="str">
        <f>IFERROR(IF(LEN(중요_시점[[#This Row],[일수]])=0,"",IF(AND(M$5=$E20,$F20=1),중요_시점_표식,"")),"")</f>
        <v/>
      </c>
      <c r="N20" s="278" t="str">
        <f>IFERROR(IF(LEN(중요_시점[[#This Row],[일수]])=0,"",IF(AND(N$5=$E20,$F20=1),중요_시점_표식,"")),"")</f>
        <v/>
      </c>
      <c r="O20" s="278" t="str">
        <f>IFERROR(IF(LEN(중요_시점[[#This Row],[일수]])=0,"",IF(AND(O$5=$E20,$F20=1),중요_시점_표식,"")),"")</f>
        <v/>
      </c>
      <c r="P20" s="278" t="str">
        <f>IFERROR(IF(LEN(중요_시점[[#This Row],[일수]])=0,"",IF(AND(P$5=$E20,$F20=1),중요_시점_표식,"")),"")</f>
        <v/>
      </c>
      <c r="Q20" s="278" t="str">
        <f>IFERROR(IF(LEN(중요_시점[[#This Row],[일수]])=0,"",IF(AND(Q$5=$E20,$F20=1),중요_시점_표식,"")),"")</f>
        <v/>
      </c>
      <c r="R20" s="278" t="str">
        <f>IFERROR(IF(LEN(중요_시점[[#This Row],[일수]])=0,"",IF(AND(R$5=$E20,$F20=1),중요_시점_표식,"")),"")</f>
        <v/>
      </c>
      <c r="S20" s="278" t="str">
        <f>IFERROR(IF(LEN(중요_시점[[#This Row],[일수]])=0,"",IF(AND(S$5=$E20,$F20=1),중요_시점_표식,"")),"")</f>
        <v/>
      </c>
      <c r="T20" s="278" t="str">
        <f>IFERROR(IF(LEN(중요_시점[[#This Row],[일수]])=0,"",IF(AND(T$5=$E20,$F20=1),중요_시점_표식,"")),"")</f>
        <v/>
      </c>
      <c r="U20" s="278" t="str">
        <f>IFERROR(IF(LEN(중요_시점[[#This Row],[일수]])=0,"",IF(AND(U$5=$E20,$F20=1),중요_시점_표식,"")),"")</f>
        <v/>
      </c>
      <c r="V20" s="278" t="str">
        <f>IFERROR(IF(LEN(중요_시점[[#This Row],[일수]])=0,"",IF(AND(V$5=$E20,$F20=1),중요_시점_표식,"")),"")</f>
        <v/>
      </c>
      <c r="W20" s="278" t="str">
        <f>IFERROR(IF(LEN(중요_시점[[#This Row],[일수]])=0,"",IF(AND(W$5=$E20,$F20=1),중요_시점_표식,"")),"")</f>
        <v/>
      </c>
      <c r="X20" s="278" t="str">
        <f>IFERROR(IF(LEN(중요_시점[[#This Row],[일수]])=0,"",IF(AND(X$5=$E20,$F20=1),중요_시점_표식,"")),"")</f>
        <v/>
      </c>
      <c r="Y20" s="278" t="str">
        <f>IFERROR(IF(LEN(중요_시점[[#This Row],[일수]])=0,"",IF(AND(Y$5=$E20,$F20=1),중요_시점_표식,"")),"")</f>
        <v/>
      </c>
      <c r="Z20" s="278" t="str">
        <f>IFERROR(IF(LEN(중요_시점[[#This Row],[일수]])=0,"",IF(AND(Z$5=$E20,$F20=1),중요_시점_표식,"")),"")</f>
        <v/>
      </c>
      <c r="AA20" s="278" t="str">
        <f>IFERROR(IF(LEN(중요_시점[[#This Row],[일수]])=0,"",IF(AND(AA$5=$E20,$F20=1),중요_시점_표식,"")),"")</f>
        <v/>
      </c>
      <c r="AB20" s="278" t="str">
        <f>IFERROR(IF(LEN(중요_시점[[#This Row],[일수]])=0,"",IF(AND(AB$5=$E20,$F20=1),중요_시점_표식,"")),"")</f>
        <v/>
      </c>
      <c r="AC20" s="278" t="str">
        <f>IFERROR(IF(LEN(중요_시점[[#This Row],[일수]])=0,"",IF(AND(AC$5=$E20,$F20=1),중요_시점_표식,"")),"")</f>
        <v/>
      </c>
      <c r="AD20" s="278" t="str">
        <f>IFERROR(IF(LEN(중요_시점[[#This Row],[일수]])=0,"",IF(AND(AD$5=$E20,$F20=1),중요_시점_표식,"")),"")</f>
        <v/>
      </c>
      <c r="AE20" s="278" t="str">
        <f>IFERROR(IF(LEN(중요_시점[[#This Row],[일수]])=0,"",IF(AND(AE$5=$E20,$F20=1),중요_시점_표식,"")),"")</f>
        <v/>
      </c>
      <c r="AF20" s="278" t="str">
        <f>IFERROR(IF(LEN(중요_시점[[#This Row],[일수]])=0,"",IF(AND(AF$5=$E20,$F20=1),중요_시점_표식,"")),"")</f>
        <v/>
      </c>
      <c r="AG20" s="278" t="str">
        <f>IFERROR(IF(LEN(중요_시점[[#This Row],[일수]])=0,"",IF(AND(AG$5=$E20,$F20=1),중요_시점_표식,"")),"")</f>
        <v/>
      </c>
      <c r="AH20" s="278" t="str">
        <f>IFERROR(IF(LEN(중요_시점[[#This Row],[일수]])=0,"",IF(AND(AH$5=$E20,$F20=1),중요_시점_표식,"")),"")</f>
        <v/>
      </c>
      <c r="AI20" s="278" t="str">
        <f>IFERROR(IF(LEN(중요_시점[[#This Row],[일수]])=0,"",IF(AND(AI$5=$E20,$F20=1),중요_시점_표식,"")),"")</f>
        <v/>
      </c>
      <c r="AJ20" s="278" t="str">
        <f>IFERROR(IF(LEN(중요_시점[[#This Row],[일수]])=0,"",IF(AND(AJ$5=$E20,$F20=1),중요_시점_표식,"")),"")</f>
        <v/>
      </c>
      <c r="AK20" s="278" t="str">
        <f>IFERROR(IF(LEN(중요_시점[[#This Row],[일수]])=0,"",IF(AND(AK$5=$E20,$F20=1),중요_시점_표식,"")),"")</f>
        <v/>
      </c>
      <c r="AL20" s="278" t="str">
        <f>IFERROR(IF(LEN(중요_시점[[#This Row],[일수]])=0,"",IF(AND(AL$5=$E20,$F20=1),중요_시점_표식,"")),"")</f>
        <v/>
      </c>
      <c r="AM20" s="278" t="str">
        <f>IFERROR(IF(LEN(중요_시점[[#This Row],[일수]])=0,"",IF(AND(AM$5=$E20,$F20=1),중요_시점_표식,"")),"")</f>
        <v/>
      </c>
      <c r="AN20" s="278" t="str">
        <f>IFERROR(IF(LEN(중요_시점[[#This Row],[일수]])=0,"",IF(AND(AN$5=$E20,$F20=1),중요_시점_표식,"")),"")</f>
        <v/>
      </c>
      <c r="AO20" s="278" t="str">
        <f>IFERROR(IF(LEN(중요_시점[[#This Row],[일수]])=0,"",IF(AND(AO$5=$E20,$F20=1),중요_시점_표식,"")),"")</f>
        <v/>
      </c>
      <c r="AP20" s="278" t="str">
        <f>IFERROR(IF(LEN(중요_시점[[#This Row],[일수]])=0,"",IF(AND(AP$5=$E20,$F20=1),중요_시점_표식,"")),"")</f>
        <v/>
      </c>
      <c r="AQ20" s="278" t="str">
        <f>IFERROR(IF(LEN(중요_시점[[#This Row],[일수]])=0,"",IF(AND(AQ$5=$E20,$F20=1),중요_시점_표식,"")),"")</f>
        <v/>
      </c>
      <c r="AR20" s="278" t="str">
        <f>IFERROR(IF(LEN(중요_시점[[#This Row],[일수]])=0,"",IF(AND(AR$5=$E20,$F20=1),중요_시점_표식,"")),"")</f>
        <v/>
      </c>
      <c r="AS20" s="278" t="str">
        <f>IFERROR(IF(LEN(중요_시점[[#This Row],[일수]])=0,"",IF(AND(AS$5=$E20,$F20=1),중요_시점_표식,"")),"")</f>
        <v/>
      </c>
      <c r="AT20" s="278" t="str">
        <f>IFERROR(IF(LEN(중요_시점[[#This Row],[일수]])=0,"",IF(AND(AT$5=$E20,$F20=1),중요_시점_표식,"")),"")</f>
        <v/>
      </c>
      <c r="AU20" s="278" t="str">
        <f>IFERROR(IF(LEN(중요_시점[[#This Row],[일수]])=0,"",IF(AND(AU$5=$E20,$F20=1),중요_시점_표식,"")),"")</f>
        <v/>
      </c>
      <c r="AV20" s="278" t="str">
        <f>IFERROR(IF(LEN(중요_시점[[#This Row],[일수]])=0,"",IF(AND(AV$5=$E20,$F20=1),중요_시점_표식,"")),"")</f>
        <v/>
      </c>
      <c r="AW20" s="278" t="str">
        <f>IFERROR(IF(LEN(중요_시점[[#This Row],[일수]])=0,"",IF(AND(AW$5=$E20,$F20=1),중요_시점_표식,"")),"")</f>
        <v/>
      </c>
      <c r="AX20" s="278" t="str">
        <f>IFERROR(IF(LEN(중요_시점[[#This Row],[일수]])=0,"",IF(AND(AX$5=$E20,$F20=1),중요_시점_표식,"")),"")</f>
        <v/>
      </c>
      <c r="AY20" s="278" t="str">
        <f>IFERROR(IF(LEN(중요_시점[[#This Row],[일수]])=0,"",IF(AND(AY$5=$E20,$F20=1),중요_시점_표식,"")),"")</f>
        <v/>
      </c>
      <c r="AZ20" s="278" t="str">
        <f>IFERROR(IF(LEN(중요_시점[[#This Row],[일수]])=0,"",IF(AND(AZ$5=$E20,$F20=1),중요_시점_표식,"")),"")</f>
        <v/>
      </c>
      <c r="BA20" s="278" t="str">
        <f>IFERROR(IF(LEN(중요_시점[[#This Row],[일수]])=0,"",IF(AND(BA$5=$E20,$F20=1),중요_시점_표식,"")),"")</f>
        <v/>
      </c>
      <c r="BB20" s="278" t="str">
        <f>IFERROR(IF(LEN(중요_시점[[#This Row],[일수]])=0,"",IF(AND(BB$5=$E20,$F20=1),중요_시점_표식,"")),"")</f>
        <v/>
      </c>
      <c r="BC20" s="278" t="str">
        <f>IFERROR(IF(LEN(중요_시점[[#This Row],[일수]])=0,"",IF(AND(BC$5=$E20,$F20=1),중요_시점_표식,"")),"")</f>
        <v/>
      </c>
      <c r="BD20" s="278" t="str">
        <f>IFERROR(IF(LEN(중요_시점[[#This Row],[일수]])=0,"",IF(AND(BD$5=$E20,$F20=1),중요_시점_표식,"")),"")</f>
        <v/>
      </c>
      <c r="BE20" s="278" t="str">
        <f>IFERROR(IF(LEN(중요_시점[[#This Row],[일수]])=0,"",IF(AND(BE$5=$E20,$F20=1),중요_시점_표식,"")),"")</f>
        <v/>
      </c>
      <c r="BF20" s="278" t="str">
        <f>IFERROR(IF(LEN(중요_시점[[#This Row],[일수]])=0,"",IF(AND(BF$5=$E20,$F20=1),중요_시점_표식,"")),"")</f>
        <v/>
      </c>
      <c r="BG20" s="278" t="str">
        <f>IFERROR(IF(LEN(중요_시점[[#This Row],[일수]])=0,"",IF(AND(BG$5=$E20,$F20=1),중요_시점_표식,"")),"")</f>
        <v/>
      </c>
      <c r="BH20" s="278" t="str">
        <f>IFERROR(IF(LEN(중요_시점[[#This Row],[일수]])=0,"",IF(AND(BH$5=$E20,$F20=1),중요_시점_표식,"")),"")</f>
        <v/>
      </c>
      <c r="BI20" s="278" t="str">
        <f>IFERROR(IF(LEN(중요_시점[[#This Row],[일수]])=0,"",IF(AND(BI$5=$E20,$F20=1),중요_시점_표식,"")),"")</f>
        <v/>
      </c>
      <c r="BJ20" s="278" t="str">
        <f>IFERROR(IF(LEN(중요_시점[[#This Row],[일수]])=0,"",IF(AND(BJ$5=$E20,$F20=1),중요_시점_표식,"")),"")</f>
        <v/>
      </c>
      <c r="BK20" s="278" t="str">
        <f>IFERROR(IF(LEN(중요_시점[[#This Row],[일수]])=0,"",IF(AND(BK$5=$E20,$F20=1),중요_시점_표식,"")),"")</f>
        <v/>
      </c>
    </row>
    <row r="21" spans="1:63" s="279" customFormat="1" ht="30" customHeight="1">
      <c r="A21" s="271"/>
      <c r="B21" s="272" t="s">
        <v>1612</v>
      </c>
      <c r="C21" s="272"/>
      <c r="D21" s="256"/>
      <c r="E21" s="273">
        <f ca="1">TODAY()+15</f>
        <v>44529</v>
      </c>
      <c r="F21" s="274">
        <v>4</v>
      </c>
      <c r="G21" s="277"/>
      <c r="H21" s="278" t="str">
        <f ca="1">IFERROR(IF(LEN(중요_시점[[#This Row],[일수]])=0,"",IF(AND(H$5=$E21,$F21=1),중요_시점_표식,"")),"")</f>
        <v/>
      </c>
      <c r="I21" s="278" t="str">
        <f ca="1">IFERROR(IF(LEN(중요_시점[[#This Row],[일수]])=0,"",IF(AND(I$5=$E21,$F21=1),중요_시점_표식,"")),"")</f>
        <v/>
      </c>
      <c r="J21" s="278" t="str">
        <f ca="1">IFERROR(IF(LEN(중요_시점[[#This Row],[일수]])=0,"",IF(AND(J$5=$E21,$F21=1),중요_시점_표식,"")),"")</f>
        <v/>
      </c>
      <c r="K21" s="278" t="str">
        <f ca="1">IFERROR(IF(LEN(중요_시점[[#This Row],[일수]])=0,"",IF(AND(K$5=$E21,$F21=1),중요_시점_표식,"")),"")</f>
        <v/>
      </c>
      <c r="L21" s="278" t="str">
        <f ca="1">IFERROR(IF(LEN(중요_시점[[#This Row],[일수]])=0,"",IF(AND(L$5=$E21,$F21=1),중요_시점_표식,"")),"")</f>
        <v/>
      </c>
      <c r="M21" s="278" t="str">
        <f ca="1">IFERROR(IF(LEN(중요_시점[[#This Row],[일수]])=0,"",IF(AND(M$5=$E21,$F21=1),중요_시점_표식,"")),"")</f>
        <v/>
      </c>
      <c r="N21" s="278" t="str">
        <f ca="1">IFERROR(IF(LEN(중요_시점[[#This Row],[일수]])=0,"",IF(AND(N$5=$E21,$F21=1),중요_시점_표식,"")),"")</f>
        <v/>
      </c>
      <c r="O21" s="278" t="str">
        <f ca="1">IFERROR(IF(LEN(중요_시점[[#This Row],[일수]])=0,"",IF(AND(O$5=$E21,$F21=1),중요_시점_표식,"")),"")</f>
        <v/>
      </c>
      <c r="P21" s="278" t="str">
        <f ca="1">IFERROR(IF(LEN(중요_시점[[#This Row],[일수]])=0,"",IF(AND(P$5=$E21,$F21=1),중요_시점_표식,"")),"")</f>
        <v/>
      </c>
      <c r="Q21" s="278" t="str">
        <f ca="1">IFERROR(IF(LEN(중요_시점[[#This Row],[일수]])=0,"",IF(AND(Q$5=$E21,$F21=1),중요_시점_표식,"")),"")</f>
        <v/>
      </c>
      <c r="R21" s="278" t="str">
        <f ca="1">IFERROR(IF(LEN(중요_시점[[#This Row],[일수]])=0,"",IF(AND(R$5=$E21,$F21=1),중요_시점_표식,"")),"")</f>
        <v/>
      </c>
      <c r="S21" s="278" t="str">
        <f ca="1">IFERROR(IF(LEN(중요_시점[[#This Row],[일수]])=0,"",IF(AND(S$5=$E21,$F21=1),중요_시점_표식,"")),"")</f>
        <v/>
      </c>
      <c r="T21" s="278" t="str">
        <f ca="1">IFERROR(IF(LEN(중요_시점[[#This Row],[일수]])=0,"",IF(AND(T$5=$E21,$F21=1),중요_시점_표식,"")),"")</f>
        <v/>
      </c>
      <c r="U21" s="278" t="str">
        <f ca="1">IFERROR(IF(LEN(중요_시점[[#This Row],[일수]])=0,"",IF(AND(U$5=$E21,$F21=1),중요_시점_표식,"")),"")</f>
        <v/>
      </c>
      <c r="V21" s="278" t="str">
        <f ca="1">IFERROR(IF(LEN(중요_시점[[#This Row],[일수]])=0,"",IF(AND(V$5=$E21,$F21=1),중요_시점_표식,"")),"")</f>
        <v/>
      </c>
      <c r="W21" s="278" t="str">
        <f ca="1">IFERROR(IF(LEN(중요_시점[[#This Row],[일수]])=0,"",IF(AND(W$5=$E21,$F21=1),중요_시점_표식,"")),"")</f>
        <v/>
      </c>
      <c r="X21" s="278" t="str">
        <f ca="1">IFERROR(IF(LEN(중요_시점[[#This Row],[일수]])=0,"",IF(AND(X$5=$E21,$F21=1),중요_시점_표식,"")),"")</f>
        <v/>
      </c>
      <c r="Y21" s="278" t="str">
        <f ca="1">IFERROR(IF(LEN(중요_시점[[#This Row],[일수]])=0,"",IF(AND(Y$5=$E21,$F21=1),중요_시점_표식,"")),"")</f>
        <v/>
      </c>
      <c r="Z21" s="278" t="str">
        <f ca="1">IFERROR(IF(LEN(중요_시점[[#This Row],[일수]])=0,"",IF(AND(Z$5=$E21,$F21=1),중요_시점_표식,"")),"")</f>
        <v/>
      </c>
      <c r="AA21" s="278" t="str">
        <f ca="1">IFERROR(IF(LEN(중요_시점[[#This Row],[일수]])=0,"",IF(AND(AA$5=$E21,$F21=1),중요_시점_표식,"")),"")</f>
        <v/>
      </c>
      <c r="AB21" s="278" t="str">
        <f ca="1">IFERROR(IF(LEN(중요_시점[[#This Row],[일수]])=0,"",IF(AND(AB$5=$E21,$F21=1),중요_시점_표식,"")),"")</f>
        <v/>
      </c>
      <c r="AC21" s="278" t="str">
        <f ca="1">IFERROR(IF(LEN(중요_시점[[#This Row],[일수]])=0,"",IF(AND(AC$5=$E21,$F21=1),중요_시점_표식,"")),"")</f>
        <v/>
      </c>
      <c r="AD21" s="278" t="str">
        <f ca="1">IFERROR(IF(LEN(중요_시점[[#This Row],[일수]])=0,"",IF(AND(AD$5=$E21,$F21=1),중요_시점_표식,"")),"")</f>
        <v/>
      </c>
      <c r="AE21" s="278" t="str">
        <f ca="1">IFERROR(IF(LEN(중요_시점[[#This Row],[일수]])=0,"",IF(AND(AE$5=$E21,$F21=1),중요_시점_표식,"")),"")</f>
        <v/>
      </c>
      <c r="AF21" s="278" t="str">
        <f ca="1">IFERROR(IF(LEN(중요_시점[[#This Row],[일수]])=0,"",IF(AND(AF$5=$E21,$F21=1),중요_시점_표식,"")),"")</f>
        <v/>
      </c>
      <c r="AG21" s="278" t="str">
        <f ca="1">IFERROR(IF(LEN(중요_시점[[#This Row],[일수]])=0,"",IF(AND(AG$5=$E21,$F21=1),중요_시점_표식,"")),"")</f>
        <v/>
      </c>
      <c r="AH21" s="278" t="str">
        <f ca="1">IFERROR(IF(LEN(중요_시점[[#This Row],[일수]])=0,"",IF(AND(AH$5=$E21,$F21=1),중요_시점_표식,"")),"")</f>
        <v/>
      </c>
      <c r="AI21" s="278" t="str">
        <f ca="1">IFERROR(IF(LEN(중요_시점[[#This Row],[일수]])=0,"",IF(AND(AI$5=$E21,$F21=1),중요_시점_표식,"")),"")</f>
        <v/>
      </c>
      <c r="AJ21" s="278" t="str">
        <f ca="1">IFERROR(IF(LEN(중요_시점[[#This Row],[일수]])=0,"",IF(AND(AJ$5=$E21,$F21=1),중요_시점_표식,"")),"")</f>
        <v/>
      </c>
      <c r="AK21" s="278" t="str">
        <f ca="1">IFERROR(IF(LEN(중요_시점[[#This Row],[일수]])=0,"",IF(AND(AK$5=$E21,$F21=1),중요_시점_표식,"")),"")</f>
        <v/>
      </c>
      <c r="AL21" s="278" t="str">
        <f ca="1">IFERROR(IF(LEN(중요_시점[[#This Row],[일수]])=0,"",IF(AND(AL$5=$E21,$F21=1),중요_시점_표식,"")),"")</f>
        <v/>
      </c>
      <c r="AM21" s="278" t="str">
        <f ca="1">IFERROR(IF(LEN(중요_시점[[#This Row],[일수]])=0,"",IF(AND(AM$5=$E21,$F21=1),중요_시점_표식,"")),"")</f>
        <v/>
      </c>
      <c r="AN21" s="278" t="str">
        <f ca="1">IFERROR(IF(LEN(중요_시점[[#This Row],[일수]])=0,"",IF(AND(AN$5=$E21,$F21=1),중요_시점_표식,"")),"")</f>
        <v/>
      </c>
      <c r="AO21" s="278" t="str">
        <f ca="1">IFERROR(IF(LEN(중요_시점[[#This Row],[일수]])=0,"",IF(AND(AO$5=$E21,$F21=1),중요_시점_표식,"")),"")</f>
        <v/>
      </c>
      <c r="AP21" s="278" t="str">
        <f ca="1">IFERROR(IF(LEN(중요_시점[[#This Row],[일수]])=0,"",IF(AND(AP$5=$E21,$F21=1),중요_시점_표식,"")),"")</f>
        <v/>
      </c>
      <c r="AQ21" s="278" t="str">
        <f ca="1">IFERROR(IF(LEN(중요_시점[[#This Row],[일수]])=0,"",IF(AND(AQ$5=$E21,$F21=1),중요_시점_표식,"")),"")</f>
        <v/>
      </c>
      <c r="AR21" s="278" t="str">
        <f ca="1">IFERROR(IF(LEN(중요_시점[[#This Row],[일수]])=0,"",IF(AND(AR$5=$E21,$F21=1),중요_시점_표식,"")),"")</f>
        <v/>
      </c>
      <c r="AS21" s="278" t="str">
        <f ca="1">IFERROR(IF(LEN(중요_시점[[#This Row],[일수]])=0,"",IF(AND(AS$5=$E21,$F21=1),중요_시점_표식,"")),"")</f>
        <v/>
      </c>
      <c r="AT21" s="278" t="str">
        <f ca="1">IFERROR(IF(LEN(중요_시점[[#This Row],[일수]])=0,"",IF(AND(AT$5=$E21,$F21=1),중요_시점_표식,"")),"")</f>
        <v/>
      </c>
      <c r="AU21" s="278" t="str">
        <f ca="1">IFERROR(IF(LEN(중요_시점[[#This Row],[일수]])=0,"",IF(AND(AU$5=$E21,$F21=1),중요_시점_표식,"")),"")</f>
        <v/>
      </c>
      <c r="AV21" s="278" t="str">
        <f ca="1">IFERROR(IF(LEN(중요_시점[[#This Row],[일수]])=0,"",IF(AND(AV$5=$E21,$F21=1),중요_시점_표식,"")),"")</f>
        <v/>
      </c>
      <c r="AW21" s="278" t="str">
        <f ca="1">IFERROR(IF(LEN(중요_시점[[#This Row],[일수]])=0,"",IF(AND(AW$5=$E21,$F21=1),중요_시점_표식,"")),"")</f>
        <v/>
      </c>
      <c r="AX21" s="278" t="str">
        <f ca="1">IFERROR(IF(LEN(중요_시점[[#This Row],[일수]])=0,"",IF(AND(AX$5=$E21,$F21=1),중요_시점_표식,"")),"")</f>
        <v/>
      </c>
      <c r="AY21" s="278" t="str">
        <f ca="1">IFERROR(IF(LEN(중요_시점[[#This Row],[일수]])=0,"",IF(AND(AY$5=$E21,$F21=1),중요_시점_표식,"")),"")</f>
        <v/>
      </c>
      <c r="AZ21" s="278" t="str">
        <f ca="1">IFERROR(IF(LEN(중요_시점[[#This Row],[일수]])=0,"",IF(AND(AZ$5=$E21,$F21=1),중요_시점_표식,"")),"")</f>
        <v/>
      </c>
      <c r="BA21" s="278" t="str">
        <f ca="1">IFERROR(IF(LEN(중요_시점[[#This Row],[일수]])=0,"",IF(AND(BA$5=$E21,$F21=1),중요_시점_표식,"")),"")</f>
        <v/>
      </c>
      <c r="BB21" s="278" t="str">
        <f ca="1">IFERROR(IF(LEN(중요_시점[[#This Row],[일수]])=0,"",IF(AND(BB$5=$E21,$F21=1),중요_시점_표식,"")),"")</f>
        <v/>
      </c>
      <c r="BC21" s="278" t="str">
        <f ca="1">IFERROR(IF(LEN(중요_시점[[#This Row],[일수]])=0,"",IF(AND(BC$5=$E21,$F21=1),중요_시점_표식,"")),"")</f>
        <v/>
      </c>
      <c r="BD21" s="278" t="str">
        <f ca="1">IFERROR(IF(LEN(중요_시점[[#This Row],[일수]])=0,"",IF(AND(BD$5=$E21,$F21=1),중요_시점_표식,"")),"")</f>
        <v/>
      </c>
      <c r="BE21" s="278" t="str">
        <f ca="1">IFERROR(IF(LEN(중요_시점[[#This Row],[일수]])=0,"",IF(AND(BE$5=$E21,$F21=1),중요_시점_표식,"")),"")</f>
        <v/>
      </c>
      <c r="BF21" s="278" t="str">
        <f ca="1">IFERROR(IF(LEN(중요_시점[[#This Row],[일수]])=0,"",IF(AND(BF$5=$E21,$F21=1),중요_시점_표식,"")),"")</f>
        <v/>
      </c>
      <c r="BG21" s="278" t="str">
        <f ca="1">IFERROR(IF(LEN(중요_시점[[#This Row],[일수]])=0,"",IF(AND(BG$5=$E21,$F21=1),중요_시점_표식,"")),"")</f>
        <v/>
      </c>
      <c r="BH21" s="278" t="str">
        <f ca="1">IFERROR(IF(LEN(중요_시점[[#This Row],[일수]])=0,"",IF(AND(BH$5=$E21,$F21=1),중요_시점_표식,"")),"")</f>
        <v/>
      </c>
      <c r="BI21" s="278" t="str">
        <f ca="1">IFERROR(IF(LEN(중요_시점[[#This Row],[일수]])=0,"",IF(AND(BI$5=$E21,$F21=1),중요_시점_표식,"")),"")</f>
        <v/>
      </c>
      <c r="BJ21" s="278" t="str">
        <f ca="1">IFERROR(IF(LEN(중요_시점[[#This Row],[일수]])=0,"",IF(AND(BJ$5=$E21,$F21=1),중요_시점_표식,"")),"")</f>
        <v/>
      </c>
      <c r="BK21" s="278" t="str">
        <f ca="1">IFERROR(IF(LEN(중요_시점[[#This Row],[일수]])=0,"",IF(AND(BK$5=$E21,$F21=1),중요_시점_표식,"")),"")</f>
        <v/>
      </c>
    </row>
    <row r="22" spans="1:63" s="279" customFormat="1" ht="30" customHeight="1">
      <c r="A22" s="271"/>
      <c r="B22" s="272" t="s">
        <v>1607</v>
      </c>
      <c r="C22" s="272"/>
      <c r="D22" s="256"/>
      <c r="E22" s="273">
        <f ca="1">TODAY()+19</f>
        <v>44533</v>
      </c>
      <c r="F22" s="274">
        <v>14</v>
      </c>
      <c r="G22" s="277"/>
      <c r="H22" s="278" t="str">
        <f ca="1">IFERROR(IF(LEN(중요_시점[[#This Row],[일수]])=0,"",IF(AND(H$5=$E22,$F22=1),중요_시점_표식,"")),"")</f>
        <v/>
      </c>
      <c r="I22" s="278" t="str">
        <f ca="1">IFERROR(IF(LEN(중요_시점[[#This Row],[일수]])=0,"",IF(AND(I$5=$E22,$F22=1),중요_시점_표식,"")),"")</f>
        <v/>
      </c>
      <c r="J22" s="278" t="str">
        <f ca="1">IFERROR(IF(LEN(중요_시점[[#This Row],[일수]])=0,"",IF(AND(J$5=$E22,$F22=1),중요_시점_표식,"")),"")</f>
        <v/>
      </c>
      <c r="K22" s="278" t="str">
        <f ca="1">IFERROR(IF(LEN(중요_시점[[#This Row],[일수]])=0,"",IF(AND(K$5=$E22,$F22=1),중요_시점_표식,"")),"")</f>
        <v/>
      </c>
      <c r="L22" s="278" t="str">
        <f ca="1">IFERROR(IF(LEN(중요_시점[[#This Row],[일수]])=0,"",IF(AND(L$5=$E22,$F22=1),중요_시점_표식,"")),"")</f>
        <v/>
      </c>
      <c r="M22" s="278" t="str">
        <f ca="1">IFERROR(IF(LEN(중요_시점[[#This Row],[일수]])=0,"",IF(AND(M$5=$E22,$F22=1),중요_시점_표식,"")),"")</f>
        <v/>
      </c>
      <c r="N22" s="278" t="str">
        <f ca="1">IFERROR(IF(LEN(중요_시점[[#This Row],[일수]])=0,"",IF(AND(N$5=$E22,$F22=1),중요_시점_표식,"")),"")</f>
        <v/>
      </c>
      <c r="O22" s="278" t="str">
        <f ca="1">IFERROR(IF(LEN(중요_시점[[#This Row],[일수]])=0,"",IF(AND(O$5=$E22,$F22=1),중요_시점_표식,"")),"")</f>
        <v/>
      </c>
      <c r="P22" s="278" t="str">
        <f ca="1">IFERROR(IF(LEN(중요_시점[[#This Row],[일수]])=0,"",IF(AND(P$5=$E22,$F22=1),중요_시점_표식,"")),"")</f>
        <v/>
      </c>
      <c r="Q22" s="278" t="str">
        <f ca="1">IFERROR(IF(LEN(중요_시점[[#This Row],[일수]])=0,"",IF(AND(Q$5=$E22,$F22=1),중요_시점_표식,"")),"")</f>
        <v/>
      </c>
      <c r="R22" s="278" t="str">
        <f ca="1">IFERROR(IF(LEN(중요_시점[[#This Row],[일수]])=0,"",IF(AND(R$5=$E22,$F22=1),중요_시점_표식,"")),"")</f>
        <v/>
      </c>
      <c r="S22" s="278" t="str">
        <f ca="1">IFERROR(IF(LEN(중요_시점[[#This Row],[일수]])=0,"",IF(AND(S$5=$E22,$F22=1),중요_시점_표식,"")),"")</f>
        <v/>
      </c>
      <c r="T22" s="278" t="str">
        <f ca="1">IFERROR(IF(LEN(중요_시점[[#This Row],[일수]])=0,"",IF(AND(T$5=$E22,$F22=1),중요_시점_표식,"")),"")</f>
        <v/>
      </c>
      <c r="U22" s="278" t="str">
        <f ca="1">IFERROR(IF(LEN(중요_시점[[#This Row],[일수]])=0,"",IF(AND(U$5=$E22,$F22=1),중요_시점_표식,"")),"")</f>
        <v/>
      </c>
      <c r="V22" s="278" t="str">
        <f ca="1">IFERROR(IF(LEN(중요_시점[[#This Row],[일수]])=0,"",IF(AND(V$5=$E22,$F22=1),중요_시점_표식,"")),"")</f>
        <v/>
      </c>
      <c r="W22" s="278" t="str">
        <f ca="1">IFERROR(IF(LEN(중요_시점[[#This Row],[일수]])=0,"",IF(AND(W$5=$E22,$F22=1),중요_시점_표식,"")),"")</f>
        <v/>
      </c>
      <c r="X22" s="278" t="str">
        <f ca="1">IFERROR(IF(LEN(중요_시점[[#This Row],[일수]])=0,"",IF(AND(X$5=$E22,$F22=1),중요_시점_표식,"")),"")</f>
        <v/>
      </c>
      <c r="Y22" s="278" t="str">
        <f ca="1">IFERROR(IF(LEN(중요_시점[[#This Row],[일수]])=0,"",IF(AND(Y$5=$E22,$F22=1),중요_시점_표식,"")),"")</f>
        <v/>
      </c>
      <c r="Z22" s="278" t="str">
        <f ca="1">IFERROR(IF(LEN(중요_시점[[#This Row],[일수]])=0,"",IF(AND(Z$5=$E22,$F22=1),중요_시점_표식,"")),"")</f>
        <v/>
      </c>
      <c r="AA22" s="278" t="str">
        <f ca="1">IFERROR(IF(LEN(중요_시점[[#This Row],[일수]])=0,"",IF(AND(AA$5=$E22,$F22=1),중요_시점_표식,"")),"")</f>
        <v/>
      </c>
      <c r="AB22" s="278" t="str">
        <f ca="1">IFERROR(IF(LEN(중요_시점[[#This Row],[일수]])=0,"",IF(AND(AB$5=$E22,$F22=1),중요_시점_표식,"")),"")</f>
        <v/>
      </c>
      <c r="AC22" s="278" t="str">
        <f ca="1">IFERROR(IF(LEN(중요_시점[[#This Row],[일수]])=0,"",IF(AND(AC$5=$E22,$F22=1),중요_시점_표식,"")),"")</f>
        <v/>
      </c>
      <c r="AD22" s="278" t="str">
        <f ca="1">IFERROR(IF(LEN(중요_시점[[#This Row],[일수]])=0,"",IF(AND(AD$5=$E22,$F22=1),중요_시점_표식,"")),"")</f>
        <v/>
      </c>
      <c r="AE22" s="278" t="str">
        <f ca="1">IFERROR(IF(LEN(중요_시점[[#This Row],[일수]])=0,"",IF(AND(AE$5=$E22,$F22=1),중요_시점_표식,"")),"")</f>
        <v/>
      </c>
      <c r="AF22" s="278" t="str">
        <f ca="1">IFERROR(IF(LEN(중요_시점[[#This Row],[일수]])=0,"",IF(AND(AF$5=$E22,$F22=1),중요_시점_표식,"")),"")</f>
        <v/>
      </c>
      <c r="AG22" s="278" t="str">
        <f ca="1">IFERROR(IF(LEN(중요_시점[[#This Row],[일수]])=0,"",IF(AND(AG$5=$E22,$F22=1),중요_시점_표식,"")),"")</f>
        <v/>
      </c>
      <c r="AH22" s="278" t="str">
        <f ca="1">IFERROR(IF(LEN(중요_시점[[#This Row],[일수]])=0,"",IF(AND(AH$5=$E22,$F22=1),중요_시점_표식,"")),"")</f>
        <v/>
      </c>
      <c r="AI22" s="278" t="str">
        <f ca="1">IFERROR(IF(LEN(중요_시점[[#This Row],[일수]])=0,"",IF(AND(AI$5=$E22,$F22=1),중요_시점_표식,"")),"")</f>
        <v/>
      </c>
      <c r="AJ22" s="278" t="str">
        <f ca="1">IFERROR(IF(LEN(중요_시점[[#This Row],[일수]])=0,"",IF(AND(AJ$5=$E22,$F22=1),중요_시점_표식,"")),"")</f>
        <v/>
      </c>
      <c r="AK22" s="278" t="str">
        <f ca="1">IFERROR(IF(LEN(중요_시점[[#This Row],[일수]])=0,"",IF(AND(AK$5=$E22,$F22=1),중요_시점_표식,"")),"")</f>
        <v/>
      </c>
      <c r="AL22" s="278" t="str">
        <f ca="1">IFERROR(IF(LEN(중요_시점[[#This Row],[일수]])=0,"",IF(AND(AL$5=$E22,$F22=1),중요_시점_표식,"")),"")</f>
        <v/>
      </c>
      <c r="AM22" s="278" t="str">
        <f ca="1">IFERROR(IF(LEN(중요_시점[[#This Row],[일수]])=0,"",IF(AND(AM$5=$E22,$F22=1),중요_시점_표식,"")),"")</f>
        <v/>
      </c>
      <c r="AN22" s="278" t="str">
        <f ca="1">IFERROR(IF(LEN(중요_시점[[#This Row],[일수]])=0,"",IF(AND(AN$5=$E22,$F22=1),중요_시점_표식,"")),"")</f>
        <v/>
      </c>
      <c r="AO22" s="278" t="str">
        <f ca="1">IFERROR(IF(LEN(중요_시점[[#This Row],[일수]])=0,"",IF(AND(AO$5=$E22,$F22=1),중요_시점_표식,"")),"")</f>
        <v/>
      </c>
      <c r="AP22" s="278" t="str">
        <f ca="1">IFERROR(IF(LEN(중요_시점[[#This Row],[일수]])=0,"",IF(AND(AP$5=$E22,$F22=1),중요_시점_표식,"")),"")</f>
        <v/>
      </c>
      <c r="AQ22" s="278" t="str">
        <f ca="1">IFERROR(IF(LEN(중요_시점[[#This Row],[일수]])=0,"",IF(AND(AQ$5=$E22,$F22=1),중요_시점_표식,"")),"")</f>
        <v/>
      </c>
      <c r="AR22" s="278" t="str">
        <f ca="1">IFERROR(IF(LEN(중요_시점[[#This Row],[일수]])=0,"",IF(AND(AR$5=$E22,$F22=1),중요_시점_표식,"")),"")</f>
        <v/>
      </c>
      <c r="AS22" s="278" t="str">
        <f ca="1">IFERROR(IF(LEN(중요_시점[[#This Row],[일수]])=0,"",IF(AND(AS$5=$E22,$F22=1),중요_시점_표식,"")),"")</f>
        <v/>
      </c>
      <c r="AT22" s="278" t="str">
        <f ca="1">IFERROR(IF(LEN(중요_시점[[#This Row],[일수]])=0,"",IF(AND(AT$5=$E22,$F22=1),중요_시점_표식,"")),"")</f>
        <v/>
      </c>
      <c r="AU22" s="278" t="str">
        <f ca="1">IFERROR(IF(LEN(중요_시점[[#This Row],[일수]])=0,"",IF(AND(AU$5=$E22,$F22=1),중요_시점_표식,"")),"")</f>
        <v/>
      </c>
      <c r="AV22" s="278" t="str">
        <f ca="1">IFERROR(IF(LEN(중요_시점[[#This Row],[일수]])=0,"",IF(AND(AV$5=$E22,$F22=1),중요_시점_표식,"")),"")</f>
        <v/>
      </c>
      <c r="AW22" s="278" t="str">
        <f ca="1">IFERROR(IF(LEN(중요_시점[[#This Row],[일수]])=0,"",IF(AND(AW$5=$E22,$F22=1),중요_시점_표식,"")),"")</f>
        <v/>
      </c>
      <c r="AX22" s="278" t="str">
        <f ca="1">IFERROR(IF(LEN(중요_시점[[#This Row],[일수]])=0,"",IF(AND(AX$5=$E22,$F22=1),중요_시점_표식,"")),"")</f>
        <v/>
      </c>
      <c r="AY22" s="278" t="str">
        <f ca="1">IFERROR(IF(LEN(중요_시점[[#This Row],[일수]])=0,"",IF(AND(AY$5=$E22,$F22=1),중요_시점_표식,"")),"")</f>
        <v/>
      </c>
      <c r="AZ22" s="278" t="str">
        <f ca="1">IFERROR(IF(LEN(중요_시점[[#This Row],[일수]])=0,"",IF(AND(AZ$5=$E22,$F22=1),중요_시점_표식,"")),"")</f>
        <v/>
      </c>
      <c r="BA22" s="278" t="str">
        <f ca="1">IFERROR(IF(LEN(중요_시점[[#This Row],[일수]])=0,"",IF(AND(BA$5=$E22,$F22=1),중요_시점_표식,"")),"")</f>
        <v/>
      </c>
      <c r="BB22" s="278" t="str">
        <f ca="1">IFERROR(IF(LEN(중요_시점[[#This Row],[일수]])=0,"",IF(AND(BB$5=$E22,$F22=1),중요_시점_표식,"")),"")</f>
        <v/>
      </c>
      <c r="BC22" s="278" t="str">
        <f ca="1">IFERROR(IF(LEN(중요_시점[[#This Row],[일수]])=0,"",IF(AND(BC$5=$E22,$F22=1),중요_시점_표식,"")),"")</f>
        <v/>
      </c>
      <c r="BD22" s="278" t="str">
        <f ca="1">IFERROR(IF(LEN(중요_시점[[#This Row],[일수]])=0,"",IF(AND(BD$5=$E22,$F22=1),중요_시점_표식,"")),"")</f>
        <v/>
      </c>
      <c r="BE22" s="278" t="str">
        <f ca="1">IFERROR(IF(LEN(중요_시점[[#This Row],[일수]])=0,"",IF(AND(BE$5=$E22,$F22=1),중요_시점_표식,"")),"")</f>
        <v/>
      </c>
      <c r="BF22" s="278" t="str">
        <f ca="1">IFERROR(IF(LEN(중요_시점[[#This Row],[일수]])=0,"",IF(AND(BF$5=$E22,$F22=1),중요_시점_표식,"")),"")</f>
        <v/>
      </c>
      <c r="BG22" s="278" t="str">
        <f ca="1">IFERROR(IF(LEN(중요_시점[[#This Row],[일수]])=0,"",IF(AND(BG$5=$E22,$F22=1),중요_시점_표식,"")),"")</f>
        <v/>
      </c>
      <c r="BH22" s="278" t="str">
        <f ca="1">IFERROR(IF(LEN(중요_시점[[#This Row],[일수]])=0,"",IF(AND(BH$5=$E22,$F22=1),중요_시점_표식,"")),"")</f>
        <v/>
      </c>
      <c r="BI22" s="278" t="str">
        <f ca="1">IFERROR(IF(LEN(중요_시점[[#This Row],[일수]])=0,"",IF(AND(BI$5=$E22,$F22=1),중요_시점_표식,"")),"")</f>
        <v/>
      </c>
      <c r="BJ22" s="278" t="str">
        <f ca="1">IFERROR(IF(LEN(중요_시점[[#This Row],[일수]])=0,"",IF(AND(BJ$5=$E22,$F22=1),중요_시점_표식,"")),"")</f>
        <v/>
      </c>
      <c r="BK22" s="278" t="str">
        <f ca="1">IFERROR(IF(LEN(중요_시점[[#This Row],[일수]])=0,"",IF(AND(BK$5=$E22,$F22=1),중요_시점_표식,"")),"")</f>
        <v/>
      </c>
    </row>
    <row r="23" spans="1:63" s="279" customFormat="1" ht="30" customHeight="1">
      <c r="A23" s="271"/>
      <c r="B23" s="272" t="s">
        <v>1608</v>
      </c>
      <c r="C23" s="272"/>
      <c r="D23" s="256"/>
      <c r="E23" s="273">
        <f ca="1">TODAY()+35</f>
        <v>44549</v>
      </c>
      <c r="F23" s="274">
        <v>6</v>
      </c>
      <c r="G23" s="277"/>
      <c r="H23" s="278" t="str">
        <f ca="1">IFERROR(IF(LEN(중요_시점[[#This Row],[일수]])=0,"",IF(AND(H$5=$E23,$F23=1),중요_시점_표식,"")),"")</f>
        <v/>
      </c>
      <c r="I23" s="278" t="str">
        <f ca="1">IFERROR(IF(LEN(중요_시점[[#This Row],[일수]])=0,"",IF(AND(I$5=$E23,$F23=1),중요_시점_표식,"")),"")</f>
        <v/>
      </c>
      <c r="J23" s="278" t="str">
        <f ca="1">IFERROR(IF(LEN(중요_시점[[#This Row],[일수]])=0,"",IF(AND(J$5=$E23,$F23=1),중요_시점_표식,"")),"")</f>
        <v/>
      </c>
      <c r="K23" s="278" t="str">
        <f ca="1">IFERROR(IF(LEN(중요_시점[[#This Row],[일수]])=0,"",IF(AND(K$5=$E23,$F23=1),중요_시점_표식,"")),"")</f>
        <v/>
      </c>
      <c r="L23" s="278" t="str">
        <f ca="1">IFERROR(IF(LEN(중요_시점[[#This Row],[일수]])=0,"",IF(AND(L$5=$E23,$F23=1),중요_시점_표식,"")),"")</f>
        <v/>
      </c>
      <c r="M23" s="278" t="str">
        <f ca="1">IFERROR(IF(LEN(중요_시점[[#This Row],[일수]])=0,"",IF(AND(M$5=$E23,$F23=1),중요_시점_표식,"")),"")</f>
        <v/>
      </c>
      <c r="N23" s="278" t="str">
        <f ca="1">IFERROR(IF(LEN(중요_시점[[#This Row],[일수]])=0,"",IF(AND(N$5=$E23,$F23=1),중요_시점_표식,"")),"")</f>
        <v/>
      </c>
      <c r="O23" s="278" t="str">
        <f ca="1">IFERROR(IF(LEN(중요_시점[[#This Row],[일수]])=0,"",IF(AND(O$5=$E23,$F23=1),중요_시점_표식,"")),"")</f>
        <v/>
      </c>
      <c r="P23" s="278" t="str">
        <f ca="1">IFERROR(IF(LEN(중요_시점[[#This Row],[일수]])=0,"",IF(AND(P$5=$E23,$F23=1),중요_시점_표식,"")),"")</f>
        <v/>
      </c>
      <c r="Q23" s="278" t="str">
        <f ca="1">IFERROR(IF(LEN(중요_시점[[#This Row],[일수]])=0,"",IF(AND(Q$5=$E23,$F23=1),중요_시점_표식,"")),"")</f>
        <v/>
      </c>
      <c r="R23" s="278" t="str">
        <f ca="1">IFERROR(IF(LEN(중요_시점[[#This Row],[일수]])=0,"",IF(AND(R$5=$E23,$F23=1),중요_시점_표식,"")),"")</f>
        <v/>
      </c>
      <c r="S23" s="278" t="str">
        <f ca="1">IFERROR(IF(LEN(중요_시점[[#This Row],[일수]])=0,"",IF(AND(S$5=$E23,$F23=1),중요_시점_표식,"")),"")</f>
        <v/>
      </c>
      <c r="T23" s="278" t="str">
        <f ca="1">IFERROR(IF(LEN(중요_시점[[#This Row],[일수]])=0,"",IF(AND(T$5=$E23,$F23=1),중요_시점_표식,"")),"")</f>
        <v/>
      </c>
      <c r="U23" s="278" t="str">
        <f ca="1">IFERROR(IF(LEN(중요_시점[[#This Row],[일수]])=0,"",IF(AND(U$5=$E23,$F23=1),중요_시점_표식,"")),"")</f>
        <v/>
      </c>
      <c r="V23" s="278" t="str">
        <f ca="1">IFERROR(IF(LEN(중요_시점[[#This Row],[일수]])=0,"",IF(AND(V$5=$E23,$F23=1),중요_시점_표식,"")),"")</f>
        <v/>
      </c>
      <c r="W23" s="278" t="str">
        <f ca="1">IFERROR(IF(LEN(중요_시점[[#This Row],[일수]])=0,"",IF(AND(W$5=$E23,$F23=1),중요_시점_표식,"")),"")</f>
        <v/>
      </c>
      <c r="X23" s="278" t="str">
        <f ca="1">IFERROR(IF(LEN(중요_시점[[#This Row],[일수]])=0,"",IF(AND(X$5=$E23,$F23=1),중요_시점_표식,"")),"")</f>
        <v/>
      </c>
      <c r="Y23" s="278" t="str">
        <f ca="1">IFERROR(IF(LEN(중요_시점[[#This Row],[일수]])=0,"",IF(AND(Y$5=$E23,$F23=1),중요_시점_표식,"")),"")</f>
        <v/>
      </c>
      <c r="Z23" s="278" t="str">
        <f ca="1">IFERROR(IF(LEN(중요_시점[[#This Row],[일수]])=0,"",IF(AND(Z$5=$E23,$F23=1),중요_시점_표식,"")),"")</f>
        <v/>
      </c>
      <c r="AA23" s="278" t="str">
        <f ca="1">IFERROR(IF(LEN(중요_시점[[#This Row],[일수]])=0,"",IF(AND(AA$5=$E23,$F23=1),중요_시점_표식,"")),"")</f>
        <v/>
      </c>
      <c r="AB23" s="278" t="str">
        <f ca="1">IFERROR(IF(LEN(중요_시점[[#This Row],[일수]])=0,"",IF(AND(AB$5=$E23,$F23=1),중요_시점_표식,"")),"")</f>
        <v/>
      </c>
      <c r="AC23" s="278" t="str">
        <f ca="1">IFERROR(IF(LEN(중요_시점[[#This Row],[일수]])=0,"",IF(AND(AC$5=$E23,$F23=1),중요_시점_표식,"")),"")</f>
        <v/>
      </c>
      <c r="AD23" s="278" t="str">
        <f ca="1">IFERROR(IF(LEN(중요_시점[[#This Row],[일수]])=0,"",IF(AND(AD$5=$E23,$F23=1),중요_시점_표식,"")),"")</f>
        <v/>
      </c>
      <c r="AE23" s="278" t="str">
        <f ca="1">IFERROR(IF(LEN(중요_시점[[#This Row],[일수]])=0,"",IF(AND(AE$5=$E23,$F23=1),중요_시점_표식,"")),"")</f>
        <v/>
      </c>
      <c r="AF23" s="278" t="str">
        <f ca="1">IFERROR(IF(LEN(중요_시점[[#This Row],[일수]])=0,"",IF(AND(AF$5=$E23,$F23=1),중요_시점_표식,"")),"")</f>
        <v/>
      </c>
      <c r="AG23" s="278" t="str">
        <f ca="1">IFERROR(IF(LEN(중요_시점[[#This Row],[일수]])=0,"",IF(AND(AG$5=$E23,$F23=1),중요_시점_표식,"")),"")</f>
        <v/>
      </c>
      <c r="AH23" s="278" t="str">
        <f ca="1">IFERROR(IF(LEN(중요_시점[[#This Row],[일수]])=0,"",IF(AND(AH$5=$E23,$F23=1),중요_시점_표식,"")),"")</f>
        <v/>
      </c>
      <c r="AI23" s="278" t="str">
        <f ca="1">IFERROR(IF(LEN(중요_시점[[#This Row],[일수]])=0,"",IF(AND(AI$5=$E23,$F23=1),중요_시점_표식,"")),"")</f>
        <v/>
      </c>
      <c r="AJ23" s="278" t="str">
        <f ca="1">IFERROR(IF(LEN(중요_시점[[#This Row],[일수]])=0,"",IF(AND(AJ$5=$E23,$F23=1),중요_시점_표식,"")),"")</f>
        <v/>
      </c>
      <c r="AK23" s="278" t="str">
        <f ca="1">IFERROR(IF(LEN(중요_시점[[#This Row],[일수]])=0,"",IF(AND(AK$5=$E23,$F23=1),중요_시점_표식,"")),"")</f>
        <v/>
      </c>
      <c r="AL23" s="278" t="str">
        <f ca="1">IFERROR(IF(LEN(중요_시점[[#This Row],[일수]])=0,"",IF(AND(AL$5=$E23,$F23=1),중요_시점_표식,"")),"")</f>
        <v/>
      </c>
      <c r="AM23" s="278" t="str">
        <f ca="1">IFERROR(IF(LEN(중요_시점[[#This Row],[일수]])=0,"",IF(AND(AM$5=$E23,$F23=1),중요_시점_표식,"")),"")</f>
        <v/>
      </c>
      <c r="AN23" s="278" t="str">
        <f ca="1">IFERROR(IF(LEN(중요_시점[[#This Row],[일수]])=0,"",IF(AND(AN$5=$E23,$F23=1),중요_시점_표식,"")),"")</f>
        <v/>
      </c>
      <c r="AO23" s="278" t="str">
        <f ca="1">IFERROR(IF(LEN(중요_시점[[#This Row],[일수]])=0,"",IF(AND(AO$5=$E23,$F23=1),중요_시점_표식,"")),"")</f>
        <v/>
      </c>
      <c r="AP23" s="278" t="str">
        <f ca="1">IFERROR(IF(LEN(중요_시점[[#This Row],[일수]])=0,"",IF(AND(AP$5=$E23,$F23=1),중요_시점_표식,"")),"")</f>
        <v/>
      </c>
      <c r="AQ23" s="278" t="str">
        <f ca="1">IFERROR(IF(LEN(중요_시점[[#This Row],[일수]])=0,"",IF(AND(AQ$5=$E23,$F23=1),중요_시점_표식,"")),"")</f>
        <v/>
      </c>
      <c r="AR23" s="278" t="str">
        <f ca="1">IFERROR(IF(LEN(중요_시점[[#This Row],[일수]])=0,"",IF(AND(AR$5=$E23,$F23=1),중요_시점_표식,"")),"")</f>
        <v/>
      </c>
      <c r="AS23" s="278" t="str">
        <f ca="1">IFERROR(IF(LEN(중요_시점[[#This Row],[일수]])=0,"",IF(AND(AS$5=$E23,$F23=1),중요_시점_표식,"")),"")</f>
        <v/>
      </c>
      <c r="AT23" s="278" t="str">
        <f ca="1">IFERROR(IF(LEN(중요_시점[[#This Row],[일수]])=0,"",IF(AND(AT$5=$E23,$F23=1),중요_시점_표식,"")),"")</f>
        <v/>
      </c>
      <c r="AU23" s="278" t="str">
        <f ca="1">IFERROR(IF(LEN(중요_시점[[#This Row],[일수]])=0,"",IF(AND(AU$5=$E23,$F23=1),중요_시점_표식,"")),"")</f>
        <v/>
      </c>
      <c r="AV23" s="278" t="str">
        <f ca="1">IFERROR(IF(LEN(중요_시점[[#This Row],[일수]])=0,"",IF(AND(AV$5=$E23,$F23=1),중요_시점_표식,"")),"")</f>
        <v/>
      </c>
      <c r="AW23" s="278" t="str">
        <f ca="1">IFERROR(IF(LEN(중요_시점[[#This Row],[일수]])=0,"",IF(AND(AW$5=$E23,$F23=1),중요_시점_표식,"")),"")</f>
        <v/>
      </c>
      <c r="AX23" s="278" t="str">
        <f ca="1">IFERROR(IF(LEN(중요_시점[[#This Row],[일수]])=0,"",IF(AND(AX$5=$E23,$F23=1),중요_시점_표식,"")),"")</f>
        <v/>
      </c>
      <c r="AY23" s="278" t="str">
        <f ca="1">IFERROR(IF(LEN(중요_시점[[#This Row],[일수]])=0,"",IF(AND(AY$5=$E23,$F23=1),중요_시점_표식,"")),"")</f>
        <v/>
      </c>
      <c r="AZ23" s="278" t="str">
        <f ca="1">IFERROR(IF(LEN(중요_시점[[#This Row],[일수]])=0,"",IF(AND(AZ$5=$E23,$F23=1),중요_시점_표식,"")),"")</f>
        <v/>
      </c>
      <c r="BA23" s="278" t="str">
        <f ca="1">IFERROR(IF(LEN(중요_시점[[#This Row],[일수]])=0,"",IF(AND(BA$5=$E23,$F23=1),중요_시점_표식,"")),"")</f>
        <v/>
      </c>
      <c r="BB23" s="278" t="str">
        <f ca="1">IFERROR(IF(LEN(중요_시점[[#This Row],[일수]])=0,"",IF(AND(BB$5=$E23,$F23=1),중요_시점_표식,"")),"")</f>
        <v/>
      </c>
      <c r="BC23" s="278" t="str">
        <f ca="1">IFERROR(IF(LEN(중요_시점[[#This Row],[일수]])=0,"",IF(AND(BC$5=$E23,$F23=1),중요_시점_표식,"")),"")</f>
        <v/>
      </c>
      <c r="BD23" s="278" t="str">
        <f ca="1">IFERROR(IF(LEN(중요_시점[[#This Row],[일수]])=0,"",IF(AND(BD$5=$E23,$F23=1),중요_시점_표식,"")),"")</f>
        <v/>
      </c>
      <c r="BE23" s="278" t="str">
        <f ca="1">IFERROR(IF(LEN(중요_시점[[#This Row],[일수]])=0,"",IF(AND(BE$5=$E23,$F23=1),중요_시점_표식,"")),"")</f>
        <v/>
      </c>
      <c r="BF23" s="278" t="str">
        <f ca="1">IFERROR(IF(LEN(중요_시점[[#This Row],[일수]])=0,"",IF(AND(BF$5=$E23,$F23=1),중요_시점_표식,"")),"")</f>
        <v/>
      </c>
      <c r="BG23" s="278" t="str">
        <f ca="1">IFERROR(IF(LEN(중요_시점[[#This Row],[일수]])=0,"",IF(AND(BG$5=$E23,$F23=1),중요_시점_표식,"")),"")</f>
        <v/>
      </c>
      <c r="BH23" s="278" t="str">
        <f ca="1">IFERROR(IF(LEN(중요_시점[[#This Row],[일수]])=0,"",IF(AND(BH$5=$E23,$F23=1),중요_시점_표식,"")),"")</f>
        <v/>
      </c>
      <c r="BI23" s="278" t="str">
        <f ca="1">IFERROR(IF(LEN(중요_시점[[#This Row],[일수]])=0,"",IF(AND(BI$5=$E23,$F23=1),중요_시점_표식,"")),"")</f>
        <v/>
      </c>
      <c r="BJ23" s="278" t="str">
        <f ca="1">IFERROR(IF(LEN(중요_시점[[#This Row],[일수]])=0,"",IF(AND(BJ$5=$E23,$F23=1),중요_시점_표식,"")),"")</f>
        <v/>
      </c>
      <c r="BK23" s="278" t="str">
        <f ca="1">IFERROR(IF(LEN(중요_시점[[#This Row],[일수]])=0,"",IF(AND(BK$5=$E23,$F23=1),중요_시점_표식,"")),"")</f>
        <v/>
      </c>
    </row>
    <row r="24" spans="1:63" s="279" customFormat="1" ht="30" customHeight="1">
      <c r="A24" s="271"/>
      <c r="B24" s="272" t="s">
        <v>1609</v>
      </c>
      <c r="C24" s="272"/>
      <c r="D24" s="256"/>
      <c r="E24" s="273">
        <f ca="1">TODAY()+48</f>
        <v>44562</v>
      </c>
      <c r="F24" s="274">
        <v>3</v>
      </c>
      <c r="G24" s="277"/>
      <c r="H24" s="278" t="str">
        <f ca="1">IFERROR(IF(LEN(중요_시점[[#This Row],[일수]])=0,"",IF(AND(H$5=$E24,$F24=1),중요_시점_표식,"")),"")</f>
        <v/>
      </c>
      <c r="I24" s="278" t="str">
        <f ca="1">IFERROR(IF(LEN(중요_시점[[#This Row],[일수]])=0,"",IF(AND(I$5=$E24,$F24=1),중요_시점_표식,"")),"")</f>
        <v/>
      </c>
      <c r="J24" s="278" t="str">
        <f ca="1">IFERROR(IF(LEN(중요_시점[[#This Row],[일수]])=0,"",IF(AND(J$5=$E24,$F24=1),중요_시점_표식,"")),"")</f>
        <v/>
      </c>
      <c r="K24" s="278" t="str">
        <f ca="1">IFERROR(IF(LEN(중요_시점[[#This Row],[일수]])=0,"",IF(AND(K$5=$E24,$F24=1),중요_시점_표식,"")),"")</f>
        <v/>
      </c>
      <c r="L24" s="278" t="str">
        <f ca="1">IFERROR(IF(LEN(중요_시점[[#This Row],[일수]])=0,"",IF(AND(L$5=$E24,$F24=1),중요_시점_표식,"")),"")</f>
        <v/>
      </c>
      <c r="M24" s="278" t="str">
        <f ca="1">IFERROR(IF(LEN(중요_시점[[#This Row],[일수]])=0,"",IF(AND(M$5=$E24,$F24=1),중요_시점_표식,"")),"")</f>
        <v/>
      </c>
      <c r="N24" s="278" t="str">
        <f ca="1">IFERROR(IF(LEN(중요_시점[[#This Row],[일수]])=0,"",IF(AND(N$5=$E24,$F24=1),중요_시점_표식,"")),"")</f>
        <v/>
      </c>
      <c r="O24" s="278" t="str">
        <f ca="1">IFERROR(IF(LEN(중요_시점[[#This Row],[일수]])=0,"",IF(AND(O$5=$E24,$F24=1),중요_시점_표식,"")),"")</f>
        <v/>
      </c>
      <c r="P24" s="278" t="str">
        <f ca="1">IFERROR(IF(LEN(중요_시점[[#This Row],[일수]])=0,"",IF(AND(P$5=$E24,$F24=1),중요_시점_표식,"")),"")</f>
        <v/>
      </c>
      <c r="Q24" s="278" t="str">
        <f ca="1">IFERROR(IF(LEN(중요_시점[[#This Row],[일수]])=0,"",IF(AND(Q$5=$E24,$F24=1),중요_시점_표식,"")),"")</f>
        <v/>
      </c>
      <c r="R24" s="278" t="str">
        <f ca="1">IFERROR(IF(LEN(중요_시점[[#This Row],[일수]])=0,"",IF(AND(R$5=$E24,$F24=1),중요_시점_표식,"")),"")</f>
        <v/>
      </c>
      <c r="S24" s="278" t="str">
        <f ca="1">IFERROR(IF(LEN(중요_시점[[#This Row],[일수]])=0,"",IF(AND(S$5=$E24,$F24=1),중요_시점_표식,"")),"")</f>
        <v/>
      </c>
      <c r="T24" s="278" t="str">
        <f ca="1">IFERROR(IF(LEN(중요_시점[[#This Row],[일수]])=0,"",IF(AND(T$5=$E24,$F24=1),중요_시점_표식,"")),"")</f>
        <v/>
      </c>
      <c r="U24" s="278" t="str">
        <f ca="1">IFERROR(IF(LEN(중요_시점[[#This Row],[일수]])=0,"",IF(AND(U$5=$E24,$F24=1),중요_시점_표식,"")),"")</f>
        <v/>
      </c>
      <c r="V24" s="278" t="str">
        <f ca="1">IFERROR(IF(LEN(중요_시점[[#This Row],[일수]])=0,"",IF(AND(V$5=$E24,$F24=1),중요_시점_표식,"")),"")</f>
        <v/>
      </c>
      <c r="W24" s="278" t="str">
        <f ca="1">IFERROR(IF(LEN(중요_시점[[#This Row],[일수]])=0,"",IF(AND(W$5=$E24,$F24=1),중요_시점_표식,"")),"")</f>
        <v/>
      </c>
      <c r="X24" s="278" t="str">
        <f ca="1">IFERROR(IF(LEN(중요_시점[[#This Row],[일수]])=0,"",IF(AND(X$5=$E24,$F24=1),중요_시점_표식,"")),"")</f>
        <v/>
      </c>
      <c r="Y24" s="278" t="str">
        <f ca="1">IFERROR(IF(LEN(중요_시점[[#This Row],[일수]])=0,"",IF(AND(Y$5=$E24,$F24=1),중요_시점_표식,"")),"")</f>
        <v/>
      </c>
      <c r="Z24" s="278" t="str">
        <f ca="1">IFERROR(IF(LEN(중요_시점[[#This Row],[일수]])=0,"",IF(AND(Z$5=$E24,$F24=1),중요_시점_표식,"")),"")</f>
        <v/>
      </c>
      <c r="AA24" s="278" t="str">
        <f ca="1">IFERROR(IF(LEN(중요_시점[[#This Row],[일수]])=0,"",IF(AND(AA$5=$E24,$F24=1),중요_시점_표식,"")),"")</f>
        <v/>
      </c>
      <c r="AB24" s="278" t="str">
        <f ca="1">IFERROR(IF(LEN(중요_시점[[#This Row],[일수]])=0,"",IF(AND(AB$5=$E24,$F24=1),중요_시점_표식,"")),"")</f>
        <v/>
      </c>
      <c r="AC24" s="278" t="str">
        <f ca="1">IFERROR(IF(LEN(중요_시점[[#This Row],[일수]])=0,"",IF(AND(AC$5=$E24,$F24=1),중요_시점_표식,"")),"")</f>
        <v/>
      </c>
      <c r="AD24" s="278" t="str">
        <f ca="1">IFERROR(IF(LEN(중요_시점[[#This Row],[일수]])=0,"",IF(AND(AD$5=$E24,$F24=1),중요_시점_표식,"")),"")</f>
        <v/>
      </c>
      <c r="AE24" s="278" t="str">
        <f ca="1">IFERROR(IF(LEN(중요_시점[[#This Row],[일수]])=0,"",IF(AND(AE$5=$E24,$F24=1),중요_시점_표식,"")),"")</f>
        <v/>
      </c>
      <c r="AF24" s="278" t="str">
        <f ca="1">IFERROR(IF(LEN(중요_시점[[#This Row],[일수]])=0,"",IF(AND(AF$5=$E24,$F24=1),중요_시점_표식,"")),"")</f>
        <v/>
      </c>
      <c r="AG24" s="278" t="str">
        <f ca="1">IFERROR(IF(LEN(중요_시점[[#This Row],[일수]])=0,"",IF(AND(AG$5=$E24,$F24=1),중요_시점_표식,"")),"")</f>
        <v/>
      </c>
      <c r="AH24" s="278" t="str">
        <f ca="1">IFERROR(IF(LEN(중요_시점[[#This Row],[일수]])=0,"",IF(AND(AH$5=$E24,$F24=1),중요_시점_표식,"")),"")</f>
        <v/>
      </c>
      <c r="AI24" s="278" t="str">
        <f ca="1">IFERROR(IF(LEN(중요_시점[[#This Row],[일수]])=0,"",IF(AND(AI$5=$E24,$F24=1),중요_시점_표식,"")),"")</f>
        <v/>
      </c>
      <c r="AJ24" s="278" t="str">
        <f ca="1">IFERROR(IF(LEN(중요_시점[[#This Row],[일수]])=0,"",IF(AND(AJ$5=$E24,$F24=1),중요_시점_표식,"")),"")</f>
        <v/>
      </c>
      <c r="AK24" s="278" t="str">
        <f ca="1">IFERROR(IF(LEN(중요_시점[[#This Row],[일수]])=0,"",IF(AND(AK$5=$E24,$F24=1),중요_시점_표식,"")),"")</f>
        <v/>
      </c>
      <c r="AL24" s="278" t="str">
        <f ca="1">IFERROR(IF(LEN(중요_시점[[#This Row],[일수]])=0,"",IF(AND(AL$5=$E24,$F24=1),중요_시점_표식,"")),"")</f>
        <v/>
      </c>
      <c r="AM24" s="278" t="str">
        <f ca="1">IFERROR(IF(LEN(중요_시점[[#This Row],[일수]])=0,"",IF(AND(AM$5=$E24,$F24=1),중요_시점_표식,"")),"")</f>
        <v/>
      </c>
      <c r="AN24" s="278" t="str">
        <f ca="1">IFERROR(IF(LEN(중요_시점[[#This Row],[일수]])=0,"",IF(AND(AN$5=$E24,$F24=1),중요_시점_표식,"")),"")</f>
        <v/>
      </c>
      <c r="AO24" s="278" t="str">
        <f ca="1">IFERROR(IF(LEN(중요_시점[[#This Row],[일수]])=0,"",IF(AND(AO$5=$E24,$F24=1),중요_시점_표식,"")),"")</f>
        <v/>
      </c>
      <c r="AP24" s="278" t="str">
        <f ca="1">IFERROR(IF(LEN(중요_시점[[#This Row],[일수]])=0,"",IF(AND(AP$5=$E24,$F24=1),중요_시점_표식,"")),"")</f>
        <v/>
      </c>
      <c r="AQ24" s="278" t="str">
        <f ca="1">IFERROR(IF(LEN(중요_시점[[#This Row],[일수]])=0,"",IF(AND(AQ$5=$E24,$F24=1),중요_시점_표식,"")),"")</f>
        <v/>
      </c>
      <c r="AR24" s="278" t="str">
        <f ca="1">IFERROR(IF(LEN(중요_시점[[#This Row],[일수]])=0,"",IF(AND(AR$5=$E24,$F24=1),중요_시점_표식,"")),"")</f>
        <v/>
      </c>
      <c r="AS24" s="278" t="str">
        <f ca="1">IFERROR(IF(LEN(중요_시점[[#This Row],[일수]])=0,"",IF(AND(AS$5=$E24,$F24=1),중요_시점_표식,"")),"")</f>
        <v/>
      </c>
      <c r="AT24" s="278" t="str">
        <f ca="1">IFERROR(IF(LEN(중요_시점[[#This Row],[일수]])=0,"",IF(AND(AT$5=$E24,$F24=1),중요_시점_표식,"")),"")</f>
        <v/>
      </c>
      <c r="AU24" s="278" t="str">
        <f ca="1">IFERROR(IF(LEN(중요_시점[[#This Row],[일수]])=0,"",IF(AND(AU$5=$E24,$F24=1),중요_시점_표식,"")),"")</f>
        <v/>
      </c>
      <c r="AV24" s="278" t="str">
        <f ca="1">IFERROR(IF(LEN(중요_시점[[#This Row],[일수]])=0,"",IF(AND(AV$5=$E24,$F24=1),중요_시점_표식,"")),"")</f>
        <v/>
      </c>
      <c r="AW24" s="278" t="str">
        <f ca="1">IFERROR(IF(LEN(중요_시점[[#This Row],[일수]])=0,"",IF(AND(AW$5=$E24,$F24=1),중요_시점_표식,"")),"")</f>
        <v/>
      </c>
      <c r="AX24" s="278" t="str">
        <f ca="1">IFERROR(IF(LEN(중요_시점[[#This Row],[일수]])=0,"",IF(AND(AX$5=$E24,$F24=1),중요_시점_표식,"")),"")</f>
        <v/>
      </c>
      <c r="AY24" s="278" t="str">
        <f ca="1">IFERROR(IF(LEN(중요_시점[[#This Row],[일수]])=0,"",IF(AND(AY$5=$E24,$F24=1),중요_시점_표식,"")),"")</f>
        <v/>
      </c>
      <c r="AZ24" s="278" t="str">
        <f ca="1">IFERROR(IF(LEN(중요_시점[[#This Row],[일수]])=0,"",IF(AND(AZ$5=$E24,$F24=1),중요_시점_표식,"")),"")</f>
        <v/>
      </c>
      <c r="BA24" s="278" t="str">
        <f ca="1">IFERROR(IF(LEN(중요_시점[[#This Row],[일수]])=0,"",IF(AND(BA$5=$E24,$F24=1),중요_시점_표식,"")),"")</f>
        <v/>
      </c>
      <c r="BB24" s="278" t="str">
        <f ca="1">IFERROR(IF(LEN(중요_시점[[#This Row],[일수]])=0,"",IF(AND(BB$5=$E24,$F24=1),중요_시점_표식,"")),"")</f>
        <v/>
      </c>
      <c r="BC24" s="278" t="str">
        <f ca="1">IFERROR(IF(LEN(중요_시점[[#This Row],[일수]])=0,"",IF(AND(BC$5=$E24,$F24=1),중요_시점_표식,"")),"")</f>
        <v/>
      </c>
      <c r="BD24" s="278" t="str">
        <f ca="1">IFERROR(IF(LEN(중요_시점[[#This Row],[일수]])=0,"",IF(AND(BD$5=$E24,$F24=1),중요_시점_표식,"")),"")</f>
        <v/>
      </c>
      <c r="BE24" s="278" t="str">
        <f ca="1">IFERROR(IF(LEN(중요_시점[[#This Row],[일수]])=0,"",IF(AND(BE$5=$E24,$F24=1),중요_시점_표식,"")),"")</f>
        <v/>
      </c>
      <c r="BF24" s="278" t="str">
        <f ca="1">IFERROR(IF(LEN(중요_시점[[#This Row],[일수]])=0,"",IF(AND(BF$5=$E24,$F24=1),중요_시점_표식,"")),"")</f>
        <v/>
      </c>
      <c r="BG24" s="278" t="str">
        <f ca="1">IFERROR(IF(LEN(중요_시점[[#This Row],[일수]])=0,"",IF(AND(BG$5=$E24,$F24=1),중요_시점_표식,"")),"")</f>
        <v/>
      </c>
      <c r="BH24" s="278" t="str">
        <f ca="1">IFERROR(IF(LEN(중요_시점[[#This Row],[일수]])=0,"",IF(AND(BH$5=$E24,$F24=1),중요_시점_표식,"")),"")</f>
        <v/>
      </c>
      <c r="BI24" s="278" t="str">
        <f ca="1">IFERROR(IF(LEN(중요_시점[[#This Row],[일수]])=0,"",IF(AND(BI$5=$E24,$F24=1),중요_시점_표식,"")),"")</f>
        <v/>
      </c>
      <c r="BJ24" s="278" t="str">
        <f ca="1">IFERROR(IF(LEN(중요_시점[[#This Row],[일수]])=0,"",IF(AND(BJ$5=$E24,$F24=1),중요_시점_표식,"")),"")</f>
        <v/>
      </c>
      <c r="BK24" s="278" t="str">
        <f ca="1">IFERROR(IF(LEN(중요_시점[[#This Row],[일수]])=0,"",IF(AND(BK$5=$E24,$F24=1),중요_시점_표식,"")),"")</f>
        <v/>
      </c>
    </row>
    <row r="25" spans="1:63" s="279" customFormat="1" ht="30" customHeight="1">
      <c r="A25" s="271"/>
      <c r="B25" s="272" t="s">
        <v>1610</v>
      </c>
      <c r="C25" s="272"/>
      <c r="D25" s="256"/>
      <c r="E25" s="273">
        <f ca="1">TODAY()+40</f>
        <v>44554</v>
      </c>
      <c r="F25" s="274">
        <v>19</v>
      </c>
      <c r="G25" s="277"/>
      <c r="H25" s="278" t="str">
        <f ca="1">IFERROR(IF(LEN(중요_시점[[#This Row],[일수]])=0,"",IF(AND(H$5=$E25,$F25=1),중요_시점_표식,"")),"")</f>
        <v/>
      </c>
      <c r="I25" s="278" t="str">
        <f ca="1">IFERROR(IF(LEN(중요_시점[[#This Row],[일수]])=0,"",IF(AND(I$5=$E25,$F25=1),중요_시점_표식,"")),"")</f>
        <v/>
      </c>
      <c r="J25" s="278" t="str">
        <f ca="1">IFERROR(IF(LEN(중요_시점[[#This Row],[일수]])=0,"",IF(AND(J$5=$E25,$F25=1),중요_시점_표식,"")),"")</f>
        <v/>
      </c>
      <c r="K25" s="278" t="str">
        <f ca="1">IFERROR(IF(LEN(중요_시점[[#This Row],[일수]])=0,"",IF(AND(K$5=$E25,$F25=1),중요_시점_표식,"")),"")</f>
        <v/>
      </c>
      <c r="L25" s="278" t="str">
        <f ca="1">IFERROR(IF(LEN(중요_시점[[#This Row],[일수]])=0,"",IF(AND(L$5=$E25,$F25=1),중요_시점_표식,"")),"")</f>
        <v/>
      </c>
      <c r="M25" s="278" t="str">
        <f ca="1">IFERROR(IF(LEN(중요_시점[[#This Row],[일수]])=0,"",IF(AND(M$5=$E25,$F25=1),중요_시점_표식,"")),"")</f>
        <v/>
      </c>
      <c r="N25" s="278" t="str">
        <f ca="1">IFERROR(IF(LEN(중요_시점[[#This Row],[일수]])=0,"",IF(AND(N$5=$E25,$F25=1),중요_시점_표식,"")),"")</f>
        <v/>
      </c>
      <c r="O25" s="278" t="str">
        <f ca="1">IFERROR(IF(LEN(중요_시점[[#This Row],[일수]])=0,"",IF(AND(O$5=$E25,$F25=1),중요_시점_표식,"")),"")</f>
        <v/>
      </c>
      <c r="P25" s="278" t="str">
        <f ca="1">IFERROR(IF(LEN(중요_시점[[#This Row],[일수]])=0,"",IF(AND(P$5=$E25,$F25=1),중요_시점_표식,"")),"")</f>
        <v/>
      </c>
      <c r="Q25" s="278" t="str">
        <f ca="1">IFERROR(IF(LEN(중요_시점[[#This Row],[일수]])=0,"",IF(AND(Q$5=$E25,$F25=1),중요_시점_표식,"")),"")</f>
        <v/>
      </c>
      <c r="R25" s="278" t="str">
        <f ca="1">IFERROR(IF(LEN(중요_시점[[#This Row],[일수]])=0,"",IF(AND(R$5=$E25,$F25=1),중요_시점_표식,"")),"")</f>
        <v/>
      </c>
      <c r="S25" s="278" t="str">
        <f ca="1">IFERROR(IF(LEN(중요_시점[[#This Row],[일수]])=0,"",IF(AND(S$5=$E25,$F25=1),중요_시점_표식,"")),"")</f>
        <v/>
      </c>
      <c r="T25" s="278" t="str">
        <f ca="1">IFERROR(IF(LEN(중요_시점[[#This Row],[일수]])=0,"",IF(AND(T$5=$E25,$F25=1),중요_시점_표식,"")),"")</f>
        <v/>
      </c>
      <c r="U25" s="278" t="str">
        <f ca="1">IFERROR(IF(LEN(중요_시점[[#This Row],[일수]])=0,"",IF(AND(U$5=$E25,$F25=1),중요_시점_표식,"")),"")</f>
        <v/>
      </c>
      <c r="V25" s="278" t="str">
        <f ca="1">IFERROR(IF(LEN(중요_시점[[#This Row],[일수]])=0,"",IF(AND(V$5=$E25,$F25=1),중요_시점_표식,"")),"")</f>
        <v/>
      </c>
      <c r="W25" s="278" t="str">
        <f ca="1">IFERROR(IF(LEN(중요_시점[[#This Row],[일수]])=0,"",IF(AND(W$5=$E25,$F25=1),중요_시점_표식,"")),"")</f>
        <v/>
      </c>
      <c r="X25" s="278" t="str">
        <f ca="1">IFERROR(IF(LEN(중요_시점[[#This Row],[일수]])=0,"",IF(AND(X$5=$E25,$F25=1),중요_시점_표식,"")),"")</f>
        <v/>
      </c>
      <c r="Y25" s="278" t="str">
        <f ca="1">IFERROR(IF(LEN(중요_시점[[#This Row],[일수]])=0,"",IF(AND(Y$5=$E25,$F25=1),중요_시점_표식,"")),"")</f>
        <v/>
      </c>
      <c r="Z25" s="278" t="str">
        <f ca="1">IFERROR(IF(LEN(중요_시점[[#This Row],[일수]])=0,"",IF(AND(Z$5=$E25,$F25=1),중요_시점_표식,"")),"")</f>
        <v/>
      </c>
      <c r="AA25" s="278" t="str">
        <f ca="1">IFERROR(IF(LEN(중요_시점[[#This Row],[일수]])=0,"",IF(AND(AA$5=$E25,$F25=1),중요_시점_표식,"")),"")</f>
        <v/>
      </c>
      <c r="AB25" s="278" t="str">
        <f ca="1">IFERROR(IF(LEN(중요_시점[[#This Row],[일수]])=0,"",IF(AND(AB$5=$E25,$F25=1),중요_시점_표식,"")),"")</f>
        <v/>
      </c>
      <c r="AC25" s="278" t="str">
        <f ca="1">IFERROR(IF(LEN(중요_시점[[#This Row],[일수]])=0,"",IF(AND(AC$5=$E25,$F25=1),중요_시점_표식,"")),"")</f>
        <v/>
      </c>
      <c r="AD25" s="278" t="str">
        <f ca="1">IFERROR(IF(LEN(중요_시점[[#This Row],[일수]])=0,"",IF(AND(AD$5=$E25,$F25=1),중요_시점_표식,"")),"")</f>
        <v/>
      </c>
      <c r="AE25" s="278" t="str">
        <f ca="1">IFERROR(IF(LEN(중요_시점[[#This Row],[일수]])=0,"",IF(AND(AE$5=$E25,$F25=1),중요_시점_표식,"")),"")</f>
        <v/>
      </c>
      <c r="AF25" s="278" t="str">
        <f ca="1">IFERROR(IF(LEN(중요_시점[[#This Row],[일수]])=0,"",IF(AND(AF$5=$E25,$F25=1),중요_시점_표식,"")),"")</f>
        <v/>
      </c>
      <c r="AG25" s="278" t="str">
        <f ca="1">IFERROR(IF(LEN(중요_시점[[#This Row],[일수]])=0,"",IF(AND(AG$5=$E25,$F25=1),중요_시점_표식,"")),"")</f>
        <v/>
      </c>
      <c r="AH25" s="278" t="str">
        <f ca="1">IFERROR(IF(LEN(중요_시점[[#This Row],[일수]])=0,"",IF(AND(AH$5=$E25,$F25=1),중요_시점_표식,"")),"")</f>
        <v/>
      </c>
      <c r="AI25" s="278" t="str">
        <f ca="1">IFERROR(IF(LEN(중요_시점[[#This Row],[일수]])=0,"",IF(AND(AI$5=$E25,$F25=1),중요_시점_표식,"")),"")</f>
        <v/>
      </c>
      <c r="AJ25" s="278" t="str">
        <f ca="1">IFERROR(IF(LEN(중요_시점[[#This Row],[일수]])=0,"",IF(AND(AJ$5=$E25,$F25=1),중요_시점_표식,"")),"")</f>
        <v/>
      </c>
      <c r="AK25" s="278" t="str">
        <f ca="1">IFERROR(IF(LEN(중요_시점[[#This Row],[일수]])=0,"",IF(AND(AK$5=$E25,$F25=1),중요_시점_표식,"")),"")</f>
        <v/>
      </c>
      <c r="AL25" s="278" t="str">
        <f ca="1">IFERROR(IF(LEN(중요_시점[[#This Row],[일수]])=0,"",IF(AND(AL$5=$E25,$F25=1),중요_시점_표식,"")),"")</f>
        <v/>
      </c>
      <c r="AM25" s="278" t="str">
        <f ca="1">IFERROR(IF(LEN(중요_시점[[#This Row],[일수]])=0,"",IF(AND(AM$5=$E25,$F25=1),중요_시점_표식,"")),"")</f>
        <v/>
      </c>
      <c r="AN25" s="278" t="str">
        <f ca="1">IFERROR(IF(LEN(중요_시점[[#This Row],[일수]])=0,"",IF(AND(AN$5=$E25,$F25=1),중요_시점_표식,"")),"")</f>
        <v/>
      </c>
      <c r="AO25" s="278" t="str">
        <f ca="1">IFERROR(IF(LEN(중요_시점[[#This Row],[일수]])=0,"",IF(AND(AO$5=$E25,$F25=1),중요_시점_표식,"")),"")</f>
        <v/>
      </c>
      <c r="AP25" s="278" t="str">
        <f ca="1">IFERROR(IF(LEN(중요_시점[[#This Row],[일수]])=0,"",IF(AND(AP$5=$E25,$F25=1),중요_시점_표식,"")),"")</f>
        <v/>
      </c>
      <c r="AQ25" s="278" t="str">
        <f ca="1">IFERROR(IF(LEN(중요_시점[[#This Row],[일수]])=0,"",IF(AND(AQ$5=$E25,$F25=1),중요_시점_표식,"")),"")</f>
        <v/>
      </c>
      <c r="AR25" s="278" t="str">
        <f ca="1">IFERROR(IF(LEN(중요_시점[[#This Row],[일수]])=0,"",IF(AND(AR$5=$E25,$F25=1),중요_시점_표식,"")),"")</f>
        <v/>
      </c>
      <c r="AS25" s="278" t="str">
        <f ca="1">IFERROR(IF(LEN(중요_시점[[#This Row],[일수]])=0,"",IF(AND(AS$5=$E25,$F25=1),중요_시점_표식,"")),"")</f>
        <v/>
      </c>
      <c r="AT25" s="278" t="str">
        <f ca="1">IFERROR(IF(LEN(중요_시점[[#This Row],[일수]])=0,"",IF(AND(AT$5=$E25,$F25=1),중요_시점_표식,"")),"")</f>
        <v/>
      </c>
      <c r="AU25" s="278" t="str">
        <f ca="1">IFERROR(IF(LEN(중요_시점[[#This Row],[일수]])=0,"",IF(AND(AU$5=$E25,$F25=1),중요_시점_표식,"")),"")</f>
        <v/>
      </c>
      <c r="AV25" s="278" t="str">
        <f ca="1">IFERROR(IF(LEN(중요_시점[[#This Row],[일수]])=0,"",IF(AND(AV$5=$E25,$F25=1),중요_시점_표식,"")),"")</f>
        <v/>
      </c>
      <c r="AW25" s="278" t="str">
        <f ca="1">IFERROR(IF(LEN(중요_시점[[#This Row],[일수]])=0,"",IF(AND(AW$5=$E25,$F25=1),중요_시점_표식,"")),"")</f>
        <v/>
      </c>
      <c r="AX25" s="278" t="str">
        <f ca="1">IFERROR(IF(LEN(중요_시점[[#This Row],[일수]])=0,"",IF(AND(AX$5=$E25,$F25=1),중요_시점_표식,"")),"")</f>
        <v/>
      </c>
      <c r="AY25" s="278" t="str">
        <f ca="1">IFERROR(IF(LEN(중요_시점[[#This Row],[일수]])=0,"",IF(AND(AY$5=$E25,$F25=1),중요_시점_표식,"")),"")</f>
        <v/>
      </c>
      <c r="AZ25" s="278" t="str">
        <f ca="1">IFERROR(IF(LEN(중요_시점[[#This Row],[일수]])=0,"",IF(AND(AZ$5=$E25,$F25=1),중요_시점_표식,"")),"")</f>
        <v/>
      </c>
      <c r="BA25" s="278" t="str">
        <f ca="1">IFERROR(IF(LEN(중요_시점[[#This Row],[일수]])=0,"",IF(AND(BA$5=$E25,$F25=1),중요_시점_표식,"")),"")</f>
        <v/>
      </c>
      <c r="BB25" s="278" t="str">
        <f ca="1">IFERROR(IF(LEN(중요_시점[[#This Row],[일수]])=0,"",IF(AND(BB$5=$E25,$F25=1),중요_시점_표식,"")),"")</f>
        <v/>
      </c>
      <c r="BC25" s="278" t="str">
        <f ca="1">IFERROR(IF(LEN(중요_시점[[#This Row],[일수]])=0,"",IF(AND(BC$5=$E25,$F25=1),중요_시점_표식,"")),"")</f>
        <v/>
      </c>
      <c r="BD25" s="278" t="str">
        <f ca="1">IFERROR(IF(LEN(중요_시점[[#This Row],[일수]])=0,"",IF(AND(BD$5=$E25,$F25=1),중요_시점_표식,"")),"")</f>
        <v/>
      </c>
      <c r="BE25" s="278" t="str">
        <f ca="1">IFERROR(IF(LEN(중요_시점[[#This Row],[일수]])=0,"",IF(AND(BE$5=$E25,$F25=1),중요_시점_표식,"")),"")</f>
        <v/>
      </c>
      <c r="BF25" s="278" t="str">
        <f ca="1">IFERROR(IF(LEN(중요_시점[[#This Row],[일수]])=0,"",IF(AND(BF$5=$E25,$F25=1),중요_시점_표식,"")),"")</f>
        <v/>
      </c>
      <c r="BG25" s="278" t="str">
        <f ca="1">IFERROR(IF(LEN(중요_시점[[#This Row],[일수]])=0,"",IF(AND(BG$5=$E25,$F25=1),중요_시점_표식,"")),"")</f>
        <v/>
      </c>
      <c r="BH25" s="278" t="str">
        <f ca="1">IFERROR(IF(LEN(중요_시점[[#This Row],[일수]])=0,"",IF(AND(BH$5=$E25,$F25=1),중요_시점_표식,"")),"")</f>
        <v/>
      </c>
      <c r="BI25" s="278" t="str">
        <f ca="1">IFERROR(IF(LEN(중요_시점[[#This Row],[일수]])=0,"",IF(AND(BI$5=$E25,$F25=1),중요_시점_표식,"")),"")</f>
        <v/>
      </c>
      <c r="BJ25" s="278" t="str">
        <f ca="1">IFERROR(IF(LEN(중요_시점[[#This Row],[일수]])=0,"",IF(AND(BJ$5=$E25,$F25=1),중요_시점_표식,"")),"")</f>
        <v/>
      </c>
      <c r="BK25" s="278" t="str">
        <f ca="1">IFERROR(IF(LEN(중요_시점[[#This Row],[일수]])=0,"",IF(AND(BK$5=$E25,$F25=1),중요_시점_표식,"")),"")</f>
        <v/>
      </c>
    </row>
    <row r="26" spans="1:63" s="279" customFormat="1" ht="30" customHeight="1">
      <c r="A26" s="271"/>
      <c r="B26" s="276" t="s">
        <v>1614</v>
      </c>
      <c r="C26" s="276"/>
      <c r="D26" s="256"/>
      <c r="E26" s="273"/>
      <c r="F26" s="274"/>
      <c r="G26" s="277"/>
      <c r="H26" s="278" t="str">
        <f>IFERROR(IF(LEN(중요_시점[[#This Row],[일수]])=0,"",IF(AND(H$5=$E26,$F26=1),중요_시점_표식,"")),"")</f>
        <v/>
      </c>
      <c r="I26" s="278" t="str">
        <f>IFERROR(IF(LEN(중요_시점[[#This Row],[일수]])=0,"",IF(AND(I$5=$E26,$F26=1),중요_시점_표식,"")),"")</f>
        <v/>
      </c>
      <c r="J26" s="278" t="str">
        <f>IFERROR(IF(LEN(중요_시점[[#This Row],[일수]])=0,"",IF(AND(J$5=$E26,$F26=1),중요_시점_표식,"")),"")</f>
        <v/>
      </c>
      <c r="K26" s="278" t="str">
        <f>IFERROR(IF(LEN(중요_시점[[#This Row],[일수]])=0,"",IF(AND(K$5=$E26,$F26=1),중요_시점_표식,"")),"")</f>
        <v/>
      </c>
      <c r="L26" s="278" t="str">
        <f>IFERROR(IF(LEN(중요_시점[[#This Row],[일수]])=0,"",IF(AND(L$5=$E26,$F26=1),중요_시점_표식,"")),"")</f>
        <v/>
      </c>
      <c r="M26" s="278" t="str">
        <f>IFERROR(IF(LEN(중요_시점[[#This Row],[일수]])=0,"",IF(AND(M$5=$E26,$F26=1),중요_시점_표식,"")),"")</f>
        <v/>
      </c>
      <c r="N26" s="278" t="str">
        <f>IFERROR(IF(LEN(중요_시점[[#This Row],[일수]])=0,"",IF(AND(N$5=$E26,$F26=1),중요_시점_표식,"")),"")</f>
        <v/>
      </c>
      <c r="O26" s="278" t="str">
        <f>IFERROR(IF(LEN(중요_시점[[#This Row],[일수]])=0,"",IF(AND(O$5=$E26,$F26=1),중요_시점_표식,"")),"")</f>
        <v/>
      </c>
      <c r="P26" s="278" t="str">
        <f>IFERROR(IF(LEN(중요_시점[[#This Row],[일수]])=0,"",IF(AND(P$5=$E26,$F26=1),중요_시점_표식,"")),"")</f>
        <v/>
      </c>
      <c r="Q26" s="278" t="str">
        <f>IFERROR(IF(LEN(중요_시점[[#This Row],[일수]])=0,"",IF(AND(Q$5=$E26,$F26=1),중요_시점_표식,"")),"")</f>
        <v/>
      </c>
      <c r="R26" s="278" t="str">
        <f>IFERROR(IF(LEN(중요_시점[[#This Row],[일수]])=0,"",IF(AND(R$5=$E26,$F26=1),중요_시점_표식,"")),"")</f>
        <v/>
      </c>
      <c r="S26" s="278" t="str">
        <f>IFERROR(IF(LEN(중요_시점[[#This Row],[일수]])=0,"",IF(AND(S$5=$E26,$F26=1),중요_시점_표식,"")),"")</f>
        <v/>
      </c>
      <c r="T26" s="278" t="str">
        <f>IFERROR(IF(LEN(중요_시점[[#This Row],[일수]])=0,"",IF(AND(T$5=$E26,$F26=1),중요_시점_표식,"")),"")</f>
        <v/>
      </c>
      <c r="U26" s="278" t="str">
        <f>IFERROR(IF(LEN(중요_시점[[#This Row],[일수]])=0,"",IF(AND(U$5=$E26,$F26=1),중요_시점_표식,"")),"")</f>
        <v/>
      </c>
      <c r="V26" s="278" t="str">
        <f>IFERROR(IF(LEN(중요_시점[[#This Row],[일수]])=0,"",IF(AND(V$5=$E26,$F26=1),중요_시점_표식,"")),"")</f>
        <v/>
      </c>
      <c r="W26" s="278" t="str">
        <f>IFERROR(IF(LEN(중요_시점[[#This Row],[일수]])=0,"",IF(AND(W$5=$E26,$F26=1),중요_시점_표식,"")),"")</f>
        <v/>
      </c>
      <c r="X26" s="278" t="str">
        <f>IFERROR(IF(LEN(중요_시점[[#This Row],[일수]])=0,"",IF(AND(X$5=$E26,$F26=1),중요_시점_표식,"")),"")</f>
        <v/>
      </c>
      <c r="Y26" s="278" t="str">
        <f>IFERROR(IF(LEN(중요_시점[[#This Row],[일수]])=0,"",IF(AND(Y$5=$E26,$F26=1),중요_시점_표식,"")),"")</f>
        <v/>
      </c>
      <c r="Z26" s="278" t="str">
        <f>IFERROR(IF(LEN(중요_시점[[#This Row],[일수]])=0,"",IF(AND(Z$5=$E26,$F26=1),중요_시점_표식,"")),"")</f>
        <v/>
      </c>
      <c r="AA26" s="278" t="str">
        <f>IFERROR(IF(LEN(중요_시점[[#This Row],[일수]])=0,"",IF(AND(AA$5=$E26,$F26=1),중요_시점_표식,"")),"")</f>
        <v/>
      </c>
      <c r="AB26" s="278" t="str">
        <f>IFERROR(IF(LEN(중요_시점[[#This Row],[일수]])=0,"",IF(AND(AB$5=$E26,$F26=1),중요_시점_표식,"")),"")</f>
        <v/>
      </c>
      <c r="AC26" s="278" t="str">
        <f>IFERROR(IF(LEN(중요_시점[[#This Row],[일수]])=0,"",IF(AND(AC$5=$E26,$F26=1),중요_시점_표식,"")),"")</f>
        <v/>
      </c>
      <c r="AD26" s="278" t="str">
        <f>IFERROR(IF(LEN(중요_시점[[#This Row],[일수]])=0,"",IF(AND(AD$5=$E26,$F26=1),중요_시점_표식,"")),"")</f>
        <v/>
      </c>
      <c r="AE26" s="278" t="str">
        <f>IFERROR(IF(LEN(중요_시점[[#This Row],[일수]])=0,"",IF(AND(AE$5=$E26,$F26=1),중요_시점_표식,"")),"")</f>
        <v/>
      </c>
      <c r="AF26" s="278" t="str">
        <f>IFERROR(IF(LEN(중요_시점[[#This Row],[일수]])=0,"",IF(AND(AF$5=$E26,$F26=1),중요_시점_표식,"")),"")</f>
        <v/>
      </c>
      <c r="AG26" s="278" t="str">
        <f>IFERROR(IF(LEN(중요_시점[[#This Row],[일수]])=0,"",IF(AND(AG$5=$E26,$F26=1),중요_시점_표식,"")),"")</f>
        <v/>
      </c>
      <c r="AH26" s="278" t="str">
        <f>IFERROR(IF(LEN(중요_시점[[#This Row],[일수]])=0,"",IF(AND(AH$5=$E26,$F26=1),중요_시점_표식,"")),"")</f>
        <v/>
      </c>
      <c r="AI26" s="278" t="str">
        <f>IFERROR(IF(LEN(중요_시점[[#This Row],[일수]])=0,"",IF(AND(AI$5=$E26,$F26=1),중요_시점_표식,"")),"")</f>
        <v/>
      </c>
      <c r="AJ26" s="278" t="str">
        <f>IFERROR(IF(LEN(중요_시점[[#This Row],[일수]])=0,"",IF(AND(AJ$5=$E26,$F26=1),중요_시점_표식,"")),"")</f>
        <v/>
      </c>
      <c r="AK26" s="278" t="str">
        <f>IFERROR(IF(LEN(중요_시점[[#This Row],[일수]])=0,"",IF(AND(AK$5=$E26,$F26=1),중요_시점_표식,"")),"")</f>
        <v/>
      </c>
      <c r="AL26" s="278" t="str">
        <f>IFERROR(IF(LEN(중요_시점[[#This Row],[일수]])=0,"",IF(AND(AL$5=$E26,$F26=1),중요_시점_표식,"")),"")</f>
        <v/>
      </c>
      <c r="AM26" s="278" t="str">
        <f>IFERROR(IF(LEN(중요_시점[[#This Row],[일수]])=0,"",IF(AND(AM$5=$E26,$F26=1),중요_시점_표식,"")),"")</f>
        <v/>
      </c>
      <c r="AN26" s="278" t="str">
        <f>IFERROR(IF(LEN(중요_시점[[#This Row],[일수]])=0,"",IF(AND(AN$5=$E26,$F26=1),중요_시점_표식,"")),"")</f>
        <v/>
      </c>
      <c r="AO26" s="278" t="str">
        <f>IFERROR(IF(LEN(중요_시점[[#This Row],[일수]])=0,"",IF(AND(AO$5=$E26,$F26=1),중요_시점_표식,"")),"")</f>
        <v/>
      </c>
      <c r="AP26" s="278" t="str">
        <f>IFERROR(IF(LEN(중요_시점[[#This Row],[일수]])=0,"",IF(AND(AP$5=$E26,$F26=1),중요_시점_표식,"")),"")</f>
        <v/>
      </c>
      <c r="AQ26" s="278" t="str">
        <f>IFERROR(IF(LEN(중요_시점[[#This Row],[일수]])=0,"",IF(AND(AQ$5=$E26,$F26=1),중요_시점_표식,"")),"")</f>
        <v/>
      </c>
      <c r="AR26" s="278" t="str">
        <f>IFERROR(IF(LEN(중요_시점[[#This Row],[일수]])=0,"",IF(AND(AR$5=$E26,$F26=1),중요_시점_표식,"")),"")</f>
        <v/>
      </c>
      <c r="AS26" s="278" t="str">
        <f>IFERROR(IF(LEN(중요_시점[[#This Row],[일수]])=0,"",IF(AND(AS$5=$E26,$F26=1),중요_시점_표식,"")),"")</f>
        <v/>
      </c>
      <c r="AT26" s="278" t="str">
        <f>IFERROR(IF(LEN(중요_시점[[#This Row],[일수]])=0,"",IF(AND(AT$5=$E26,$F26=1),중요_시점_표식,"")),"")</f>
        <v/>
      </c>
      <c r="AU26" s="278" t="str">
        <f>IFERROR(IF(LEN(중요_시점[[#This Row],[일수]])=0,"",IF(AND(AU$5=$E26,$F26=1),중요_시점_표식,"")),"")</f>
        <v/>
      </c>
      <c r="AV26" s="278" t="str">
        <f>IFERROR(IF(LEN(중요_시점[[#This Row],[일수]])=0,"",IF(AND(AV$5=$E26,$F26=1),중요_시점_표식,"")),"")</f>
        <v/>
      </c>
      <c r="AW26" s="278" t="str">
        <f>IFERROR(IF(LEN(중요_시점[[#This Row],[일수]])=0,"",IF(AND(AW$5=$E26,$F26=1),중요_시점_표식,"")),"")</f>
        <v/>
      </c>
      <c r="AX26" s="278" t="str">
        <f>IFERROR(IF(LEN(중요_시점[[#This Row],[일수]])=0,"",IF(AND(AX$5=$E26,$F26=1),중요_시점_표식,"")),"")</f>
        <v/>
      </c>
      <c r="AY26" s="278" t="str">
        <f>IFERROR(IF(LEN(중요_시점[[#This Row],[일수]])=0,"",IF(AND(AY$5=$E26,$F26=1),중요_시점_표식,"")),"")</f>
        <v/>
      </c>
      <c r="AZ26" s="278" t="str">
        <f>IFERROR(IF(LEN(중요_시점[[#This Row],[일수]])=0,"",IF(AND(AZ$5=$E26,$F26=1),중요_시점_표식,"")),"")</f>
        <v/>
      </c>
      <c r="BA26" s="278" t="str">
        <f>IFERROR(IF(LEN(중요_시점[[#This Row],[일수]])=0,"",IF(AND(BA$5=$E26,$F26=1),중요_시점_표식,"")),"")</f>
        <v/>
      </c>
      <c r="BB26" s="278" t="str">
        <f>IFERROR(IF(LEN(중요_시점[[#This Row],[일수]])=0,"",IF(AND(BB$5=$E26,$F26=1),중요_시점_표식,"")),"")</f>
        <v/>
      </c>
      <c r="BC26" s="278" t="str">
        <f>IFERROR(IF(LEN(중요_시점[[#This Row],[일수]])=0,"",IF(AND(BC$5=$E26,$F26=1),중요_시점_표식,"")),"")</f>
        <v/>
      </c>
      <c r="BD26" s="278" t="str">
        <f>IFERROR(IF(LEN(중요_시점[[#This Row],[일수]])=0,"",IF(AND(BD$5=$E26,$F26=1),중요_시점_표식,"")),"")</f>
        <v/>
      </c>
      <c r="BE26" s="278" t="str">
        <f>IFERROR(IF(LEN(중요_시점[[#This Row],[일수]])=0,"",IF(AND(BE$5=$E26,$F26=1),중요_시점_표식,"")),"")</f>
        <v/>
      </c>
      <c r="BF26" s="278" t="str">
        <f>IFERROR(IF(LEN(중요_시점[[#This Row],[일수]])=0,"",IF(AND(BF$5=$E26,$F26=1),중요_시점_표식,"")),"")</f>
        <v/>
      </c>
      <c r="BG26" s="278" t="str">
        <f>IFERROR(IF(LEN(중요_시점[[#This Row],[일수]])=0,"",IF(AND(BG$5=$E26,$F26=1),중요_시점_표식,"")),"")</f>
        <v/>
      </c>
      <c r="BH26" s="278" t="str">
        <f>IFERROR(IF(LEN(중요_시점[[#This Row],[일수]])=0,"",IF(AND(BH$5=$E26,$F26=1),중요_시점_표식,"")),"")</f>
        <v/>
      </c>
      <c r="BI26" s="278" t="str">
        <f>IFERROR(IF(LEN(중요_시점[[#This Row],[일수]])=0,"",IF(AND(BI$5=$E26,$F26=1),중요_시점_표식,"")),"")</f>
        <v/>
      </c>
      <c r="BJ26" s="278" t="str">
        <f>IFERROR(IF(LEN(중요_시점[[#This Row],[일수]])=0,"",IF(AND(BJ$5=$E26,$F26=1),중요_시점_표식,"")),"")</f>
        <v/>
      </c>
      <c r="BK26" s="278" t="str">
        <f>IFERROR(IF(LEN(중요_시점[[#This Row],[일수]])=0,"",IF(AND(BK$5=$E26,$F26=1),중요_시점_표식,"")),"")</f>
        <v/>
      </c>
    </row>
    <row r="27" spans="1:63" s="279" customFormat="1" ht="30" customHeight="1">
      <c r="A27" s="271"/>
      <c r="B27" s="272" t="s">
        <v>1612</v>
      </c>
      <c r="C27" s="272"/>
      <c r="D27" s="256"/>
      <c r="E27" s="273">
        <f ca="1">TODAY()+37</f>
        <v>44551</v>
      </c>
      <c r="F27" s="274">
        <v>15</v>
      </c>
      <c r="G27" s="277"/>
      <c r="H27" s="278" t="str">
        <f ca="1">IFERROR(IF(LEN(중요_시점[[#This Row],[일수]])=0,"",IF(AND(H$5=$E27,$F27=1),중요_시점_표식,"")),"")</f>
        <v/>
      </c>
      <c r="I27" s="278" t="str">
        <f ca="1">IFERROR(IF(LEN(중요_시점[[#This Row],[일수]])=0,"",IF(AND(I$5=$E27,$F27=1),중요_시점_표식,"")),"")</f>
        <v/>
      </c>
      <c r="J27" s="278" t="str">
        <f ca="1">IFERROR(IF(LEN(중요_시점[[#This Row],[일수]])=0,"",IF(AND(J$5=$E27,$F27=1),중요_시점_표식,"")),"")</f>
        <v/>
      </c>
      <c r="K27" s="278" t="str">
        <f ca="1">IFERROR(IF(LEN(중요_시점[[#This Row],[일수]])=0,"",IF(AND(K$5=$E27,$F27=1),중요_시점_표식,"")),"")</f>
        <v/>
      </c>
      <c r="L27" s="278" t="str">
        <f ca="1">IFERROR(IF(LEN(중요_시점[[#This Row],[일수]])=0,"",IF(AND(L$5=$E27,$F27=1),중요_시점_표식,"")),"")</f>
        <v/>
      </c>
      <c r="M27" s="278" t="str">
        <f ca="1">IFERROR(IF(LEN(중요_시점[[#This Row],[일수]])=0,"",IF(AND(M$5=$E27,$F27=1),중요_시점_표식,"")),"")</f>
        <v/>
      </c>
      <c r="N27" s="278" t="str">
        <f ca="1">IFERROR(IF(LEN(중요_시점[[#This Row],[일수]])=0,"",IF(AND(N$5=$E27,$F27=1),중요_시점_표식,"")),"")</f>
        <v/>
      </c>
      <c r="O27" s="278" t="str">
        <f ca="1">IFERROR(IF(LEN(중요_시점[[#This Row],[일수]])=0,"",IF(AND(O$5=$E27,$F27=1),중요_시점_표식,"")),"")</f>
        <v/>
      </c>
      <c r="P27" s="278" t="str">
        <f ca="1">IFERROR(IF(LEN(중요_시점[[#This Row],[일수]])=0,"",IF(AND(P$5=$E27,$F27=1),중요_시점_표식,"")),"")</f>
        <v/>
      </c>
      <c r="Q27" s="278" t="str">
        <f ca="1">IFERROR(IF(LEN(중요_시점[[#This Row],[일수]])=0,"",IF(AND(Q$5=$E27,$F27=1),중요_시점_표식,"")),"")</f>
        <v/>
      </c>
      <c r="R27" s="278" t="str">
        <f ca="1">IFERROR(IF(LEN(중요_시점[[#This Row],[일수]])=0,"",IF(AND(R$5=$E27,$F27=1),중요_시점_표식,"")),"")</f>
        <v/>
      </c>
      <c r="S27" s="278" t="str">
        <f ca="1">IFERROR(IF(LEN(중요_시점[[#This Row],[일수]])=0,"",IF(AND(S$5=$E27,$F27=1),중요_시점_표식,"")),"")</f>
        <v/>
      </c>
      <c r="T27" s="278" t="str">
        <f ca="1">IFERROR(IF(LEN(중요_시점[[#This Row],[일수]])=0,"",IF(AND(T$5=$E27,$F27=1),중요_시점_표식,"")),"")</f>
        <v/>
      </c>
      <c r="U27" s="278" t="str">
        <f ca="1">IFERROR(IF(LEN(중요_시점[[#This Row],[일수]])=0,"",IF(AND(U$5=$E27,$F27=1),중요_시점_표식,"")),"")</f>
        <v/>
      </c>
      <c r="V27" s="278" t="str">
        <f ca="1">IFERROR(IF(LEN(중요_시점[[#This Row],[일수]])=0,"",IF(AND(V$5=$E27,$F27=1),중요_시점_표식,"")),"")</f>
        <v/>
      </c>
      <c r="W27" s="278" t="str">
        <f ca="1">IFERROR(IF(LEN(중요_시점[[#This Row],[일수]])=0,"",IF(AND(W$5=$E27,$F27=1),중요_시점_표식,"")),"")</f>
        <v/>
      </c>
      <c r="X27" s="278" t="str">
        <f ca="1">IFERROR(IF(LEN(중요_시점[[#This Row],[일수]])=0,"",IF(AND(X$5=$E27,$F27=1),중요_시점_표식,"")),"")</f>
        <v/>
      </c>
      <c r="Y27" s="278" t="str">
        <f ca="1">IFERROR(IF(LEN(중요_시점[[#This Row],[일수]])=0,"",IF(AND(Y$5=$E27,$F27=1),중요_시점_표식,"")),"")</f>
        <v/>
      </c>
      <c r="Z27" s="278" t="str">
        <f ca="1">IFERROR(IF(LEN(중요_시점[[#This Row],[일수]])=0,"",IF(AND(Z$5=$E27,$F27=1),중요_시점_표식,"")),"")</f>
        <v/>
      </c>
      <c r="AA27" s="278" t="str">
        <f ca="1">IFERROR(IF(LEN(중요_시점[[#This Row],[일수]])=0,"",IF(AND(AA$5=$E27,$F27=1),중요_시점_표식,"")),"")</f>
        <v/>
      </c>
      <c r="AB27" s="278" t="str">
        <f ca="1">IFERROR(IF(LEN(중요_시점[[#This Row],[일수]])=0,"",IF(AND(AB$5=$E27,$F27=1),중요_시점_표식,"")),"")</f>
        <v/>
      </c>
      <c r="AC27" s="278" t="str">
        <f ca="1">IFERROR(IF(LEN(중요_시점[[#This Row],[일수]])=0,"",IF(AND(AC$5=$E27,$F27=1),중요_시점_표식,"")),"")</f>
        <v/>
      </c>
      <c r="AD27" s="278" t="str">
        <f ca="1">IFERROR(IF(LEN(중요_시점[[#This Row],[일수]])=0,"",IF(AND(AD$5=$E27,$F27=1),중요_시점_표식,"")),"")</f>
        <v/>
      </c>
      <c r="AE27" s="278" t="str">
        <f ca="1">IFERROR(IF(LEN(중요_시점[[#This Row],[일수]])=0,"",IF(AND(AE$5=$E27,$F27=1),중요_시점_표식,"")),"")</f>
        <v/>
      </c>
      <c r="AF27" s="278" t="str">
        <f ca="1">IFERROR(IF(LEN(중요_시점[[#This Row],[일수]])=0,"",IF(AND(AF$5=$E27,$F27=1),중요_시점_표식,"")),"")</f>
        <v/>
      </c>
      <c r="AG27" s="278" t="str">
        <f ca="1">IFERROR(IF(LEN(중요_시점[[#This Row],[일수]])=0,"",IF(AND(AG$5=$E27,$F27=1),중요_시점_표식,"")),"")</f>
        <v/>
      </c>
      <c r="AH27" s="278" t="str">
        <f ca="1">IFERROR(IF(LEN(중요_시점[[#This Row],[일수]])=0,"",IF(AND(AH$5=$E27,$F27=1),중요_시점_표식,"")),"")</f>
        <v/>
      </c>
      <c r="AI27" s="278" t="str">
        <f ca="1">IFERROR(IF(LEN(중요_시점[[#This Row],[일수]])=0,"",IF(AND(AI$5=$E27,$F27=1),중요_시점_표식,"")),"")</f>
        <v/>
      </c>
      <c r="AJ27" s="278" t="str">
        <f ca="1">IFERROR(IF(LEN(중요_시점[[#This Row],[일수]])=0,"",IF(AND(AJ$5=$E27,$F27=1),중요_시점_표식,"")),"")</f>
        <v/>
      </c>
      <c r="AK27" s="278" t="str">
        <f ca="1">IFERROR(IF(LEN(중요_시점[[#This Row],[일수]])=0,"",IF(AND(AK$5=$E27,$F27=1),중요_시점_표식,"")),"")</f>
        <v/>
      </c>
      <c r="AL27" s="278" t="str">
        <f ca="1">IFERROR(IF(LEN(중요_시점[[#This Row],[일수]])=0,"",IF(AND(AL$5=$E27,$F27=1),중요_시점_표식,"")),"")</f>
        <v/>
      </c>
      <c r="AM27" s="278" t="str">
        <f ca="1">IFERROR(IF(LEN(중요_시점[[#This Row],[일수]])=0,"",IF(AND(AM$5=$E27,$F27=1),중요_시점_표식,"")),"")</f>
        <v/>
      </c>
      <c r="AN27" s="278" t="str">
        <f ca="1">IFERROR(IF(LEN(중요_시점[[#This Row],[일수]])=0,"",IF(AND(AN$5=$E27,$F27=1),중요_시점_표식,"")),"")</f>
        <v/>
      </c>
      <c r="AO27" s="278" t="str">
        <f ca="1">IFERROR(IF(LEN(중요_시점[[#This Row],[일수]])=0,"",IF(AND(AO$5=$E27,$F27=1),중요_시점_표식,"")),"")</f>
        <v/>
      </c>
      <c r="AP27" s="278" t="str">
        <f ca="1">IFERROR(IF(LEN(중요_시점[[#This Row],[일수]])=0,"",IF(AND(AP$5=$E27,$F27=1),중요_시점_표식,"")),"")</f>
        <v/>
      </c>
      <c r="AQ27" s="278" t="str">
        <f ca="1">IFERROR(IF(LEN(중요_시점[[#This Row],[일수]])=0,"",IF(AND(AQ$5=$E27,$F27=1),중요_시점_표식,"")),"")</f>
        <v/>
      </c>
      <c r="AR27" s="278" t="str">
        <f ca="1">IFERROR(IF(LEN(중요_시점[[#This Row],[일수]])=0,"",IF(AND(AR$5=$E27,$F27=1),중요_시점_표식,"")),"")</f>
        <v/>
      </c>
      <c r="AS27" s="278" t="str">
        <f ca="1">IFERROR(IF(LEN(중요_시점[[#This Row],[일수]])=0,"",IF(AND(AS$5=$E27,$F27=1),중요_시점_표식,"")),"")</f>
        <v/>
      </c>
      <c r="AT27" s="278" t="str">
        <f ca="1">IFERROR(IF(LEN(중요_시점[[#This Row],[일수]])=0,"",IF(AND(AT$5=$E27,$F27=1),중요_시점_표식,"")),"")</f>
        <v/>
      </c>
      <c r="AU27" s="278" t="str">
        <f ca="1">IFERROR(IF(LEN(중요_시점[[#This Row],[일수]])=0,"",IF(AND(AU$5=$E27,$F27=1),중요_시점_표식,"")),"")</f>
        <v/>
      </c>
      <c r="AV27" s="278" t="str">
        <f ca="1">IFERROR(IF(LEN(중요_시점[[#This Row],[일수]])=0,"",IF(AND(AV$5=$E27,$F27=1),중요_시점_표식,"")),"")</f>
        <v/>
      </c>
      <c r="AW27" s="278" t="str">
        <f ca="1">IFERROR(IF(LEN(중요_시점[[#This Row],[일수]])=0,"",IF(AND(AW$5=$E27,$F27=1),중요_시점_표식,"")),"")</f>
        <v/>
      </c>
      <c r="AX27" s="278" t="str">
        <f ca="1">IFERROR(IF(LEN(중요_시점[[#This Row],[일수]])=0,"",IF(AND(AX$5=$E27,$F27=1),중요_시점_표식,"")),"")</f>
        <v/>
      </c>
      <c r="AY27" s="278" t="str">
        <f ca="1">IFERROR(IF(LEN(중요_시점[[#This Row],[일수]])=0,"",IF(AND(AY$5=$E27,$F27=1),중요_시점_표식,"")),"")</f>
        <v/>
      </c>
      <c r="AZ27" s="278" t="str">
        <f ca="1">IFERROR(IF(LEN(중요_시점[[#This Row],[일수]])=0,"",IF(AND(AZ$5=$E27,$F27=1),중요_시점_표식,"")),"")</f>
        <v/>
      </c>
      <c r="BA27" s="278" t="str">
        <f ca="1">IFERROR(IF(LEN(중요_시점[[#This Row],[일수]])=0,"",IF(AND(BA$5=$E27,$F27=1),중요_시점_표식,"")),"")</f>
        <v/>
      </c>
      <c r="BB27" s="278" t="str">
        <f ca="1">IFERROR(IF(LEN(중요_시점[[#This Row],[일수]])=0,"",IF(AND(BB$5=$E27,$F27=1),중요_시점_표식,"")),"")</f>
        <v/>
      </c>
      <c r="BC27" s="278" t="str">
        <f ca="1">IFERROR(IF(LEN(중요_시점[[#This Row],[일수]])=0,"",IF(AND(BC$5=$E27,$F27=1),중요_시점_표식,"")),"")</f>
        <v/>
      </c>
      <c r="BD27" s="278" t="str">
        <f ca="1">IFERROR(IF(LEN(중요_시점[[#This Row],[일수]])=0,"",IF(AND(BD$5=$E27,$F27=1),중요_시점_표식,"")),"")</f>
        <v/>
      </c>
      <c r="BE27" s="278" t="str">
        <f ca="1">IFERROR(IF(LEN(중요_시점[[#This Row],[일수]])=0,"",IF(AND(BE$5=$E27,$F27=1),중요_시점_표식,"")),"")</f>
        <v/>
      </c>
      <c r="BF27" s="278" t="str">
        <f ca="1">IFERROR(IF(LEN(중요_시점[[#This Row],[일수]])=0,"",IF(AND(BF$5=$E27,$F27=1),중요_시점_표식,"")),"")</f>
        <v/>
      </c>
      <c r="BG27" s="278" t="str">
        <f ca="1">IFERROR(IF(LEN(중요_시점[[#This Row],[일수]])=0,"",IF(AND(BG$5=$E27,$F27=1),중요_시점_표식,"")),"")</f>
        <v/>
      </c>
      <c r="BH27" s="278" t="str">
        <f ca="1">IFERROR(IF(LEN(중요_시점[[#This Row],[일수]])=0,"",IF(AND(BH$5=$E27,$F27=1),중요_시점_표식,"")),"")</f>
        <v/>
      </c>
      <c r="BI27" s="278" t="str">
        <f ca="1">IFERROR(IF(LEN(중요_시점[[#This Row],[일수]])=0,"",IF(AND(BI$5=$E27,$F27=1),중요_시점_표식,"")),"")</f>
        <v/>
      </c>
      <c r="BJ27" s="278" t="str">
        <f ca="1">IFERROR(IF(LEN(중요_시점[[#This Row],[일수]])=0,"",IF(AND(BJ$5=$E27,$F27=1),중요_시점_표식,"")),"")</f>
        <v/>
      </c>
      <c r="BK27" s="278" t="str">
        <f ca="1">IFERROR(IF(LEN(중요_시점[[#This Row],[일수]])=0,"",IF(AND(BK$5=$E27,$F27=1),중요_시점_표식,"")),"")</f>
        <v/>
      </c>
    </row>
    <row r="28" spans="1:63" s="279" customFormat="1" ht="30" customHeight="1">
      <c r="A28" s="271"/>
      <c r="B28" s="272" t="s">
        <v>1607</v>
      </c>
      <c r="C28" s="272"/>
      <c r="D28" s="256"/>
      <c r="E28" s="273">
        <f ca="1">TODAY()+29</f>
        <v>44543</v>
      </c>
      <c r="F28" s="274">
        <v>5</v>
      </c>
      <c r="G28" s="277"/>
      <c r="H28" s="278" t="str">
        <f ca="1">IFERROR(IF(LEN(중요_시점[[#This Row],[일수]])=0,"",IF(AND(H$5=$E28,$F28=1),중요_시점_표식,"")),"")</f>
        <v/>
      </c>
      <c r="I28" s="278" t="str">
        <f ca="1">IFERROR(IF(LEN(중요_시점[[#This Row],[일수]])=0,"",IF(AND(I$5=$E28,$F28=1),중요_시점_표식,"")),"")</f>
        <v/>
      </c>
      <c r="J28" s="278" t="str">
        <f ca="1">IFERROR(IF(LEN(중요_시점[[#This Row],[일수]])=0,"",IF(AND(J$5=$E28,$F28=1),중요_시점_표식,"")),"")</f>
        <v/>
      </c>
      <c r="K28" s="278" t="str">
        <f ca="1">IFERROR(IF(LEN(중요_시점[[#This Row],[일수]])=0,"",IF(AND(K$5=$E28,$F28=1),중요_시점_표식,"")),"")</f>
        <v/>
      </c>
      <c r="L28" s="278" t="str">
        <f ca="1">IFERROR(IF(LEN(중요_시점[[#This Row],[일수]])=0,"",IF(AND(L$5=$E28,$F28=1),중요_시점_표식,"")),"")</f>
        <v/>
      </c>
      <c r="M28" s="278" t="str">
        <f ca="1">IFERROR(IF(LEN(중요_시점[[#This Row],[일수]])=0,"",IF(AND(M$5=$E28,$F28=1),중요_시점_표식,"")),"")</f>
        <v/>
      </c>
      <c r="N28" s="278" t="str">
        <f ca="1">IFERROR(IF(LEN(중요_시점[[#This Row],[일수]])=0,"",IF(AND(N$5=$E28,$F28=1),중요_시점_표식,"")),"")</f>
        <v/>
      </c>
      <c r="O28" s="278" t="str">
        <f ca="1">IFERROR(IF(LEN(중요_시점[[#This Row],[일수]])=0,"",IF(AND(O$5=$E28,$F28=1),중요_시점_표식,"")),"")</f>
        <v/>
      </c>
      <c r="P28" s="278" t="str">
        <f ca="1">IFERROR(IF(LEN(중요_시점[[#This Row],[일수]])=0,"",IF(AND(P$5=$E28,$F28=1),중요_시점_표식,"")),"")</f>
        <v/>
      </c>
      <c r="Q28" s="278" t="str">
        <f ca="1">IFERROR(IF(LEN(중요_시점[[#This Row],[일수]])=0,"",IF(AND(Q$5=$E28,$F28=1),중요_시점_표식,"")),"")</f>
        <v/>
      </c>
      <c r="R28" s="278" t="str">
        <f ca="1">IFERROR(IF(LEN(중요_시점[[#This Row],[일수]])=0,"",IF(AND(R$5=$E28,$F28=1),중요_시점_표식,"")),"")</f>
        <v/>
      </c>
      <c r="S28" s="278" t="str">
        <f ca="1">IFERROR(IF(LEN(중요_시점[[#This Row],[일수]])=0,"",IF(AND(S$5=$E28,$F28=1),중요_시점_표식,"")),"")</f>
        <v/>
      </c>
      <c r="T28" s="278" t="str">
        <f ca="1">IFERROR(IF(LEN(중요_시점[[#This Row],[일수]])=0,"",IF(AND(T$5=$E28,$F28=1),중요_시점_표식,"")),"")</f>
        <v/>
      </c>
      <c r="U28" s="278" t="str">
        <f ca="1">IFERROR(IF(LEN(중요_시점[[#This Row],[일수]])=0,"",IF(AND(U$5=$E28,$F28=1),중요_시점_표식,"")),"")</f>
        <v/>
      </c>
      <c r="V28" s="278" t="str">
        <f ca="1">IFERROR(IF(LEN(중요_시점[[#This Row],[일수]])=0,"",IF(AND(V$5=$E28,$F28=1),중요_시점_표식,"")),"")</f>
        <v/>
      </c>
      <c r="W28" s="278" t="str">
        <f ca="1">IFERROR(IF(LEN(중요_시점[[#This Row],[일수]])=0,"",IF(AND(W$5=$E28,$F28=1),중요_시점_표식,"")),"")</f>
        <v/>
      </c>
      <c r="X28" s="278" t="str">
        <f ca="1">IFERROR(IF(LEN(중요_시점[[#This Row],[일수]])=0,"",IF(AND(X$5=$E28,$F28=1),중요_시점_표식,"")),"")</f>
        <v/>
      </c>
      <c r="Y28" s="278" t="str">
        <f ca="1">IFERROR(IF(LEN(중요_시점[[#This Row],[일수]])=0,"",IF(AND(Y$5=$E28,$F28=1),중요_시점_표식,"")),"")</f>
        <v/>
      </c>
      <c r="Z28" s="278" t="str">
        <f ca="1">IFERROR(IF(LEN(중요_시점[[#This Row],[일수]])=0,"",IF(AND(Z$5=$E28,$F28=1),중요_시점_표식,"")),"")</f>
        <v/>
      </c>
      <c r="AA28" s="278" t="str">
        <f ca="1">IFERROR(IF(LEN(중요_시점[[#This Row],[일수]])=0,"",IF(AND(AA$5=$E28,$F28=1),중요_시점_표식,"")),"")</f>
        <v/>
      </c>
      <c r="AB28" s="278" t="str">
        <f ca="1">IFERROR(IF(LEN(중요_시점[[#This Row],[일수]])=0,"",IF(AND(AB$5=$E28,$F28=1),중요_시점_표식,"")),"")</f>
        <v/>
      </c>
      <c r="AC28" s="278" t="str">
        <f ca="1">IFERROR(IF(LEN(중요_시점[[#This Row],[일수]])=0,"",IF(AND(AC$5=$E28,$F28=1),중요_시점_표식,"")),"")</f>
        <v/>
      </c>
      <c r="AD28" s="278" t="str">
        <f ca="1">IFERROR(IF(LEN(중요_시점[[#This Row],[일수]])=0,"",IF(AND(AD$5=$E28,$F28=1),중요_시점_표식,"")),"")</f>
        <v/>
      </c>
      <c r="AE28" s="278" t="str">
        <f ca="1">IFERROR(IF(LEN(중요_시점[[#This Row],[일수]])=0,"",IF(AND(AE$5=$E28,$F28=1),중요_시점_표식,"")),"")</f>
        <v/>
      </c>
      <c r="AF28" s="278" t="str">
        <f ca="1">IFERROR(IF(LEN(중요_시점[[#This Row],[일수]])=0,"",IF(AND(AF$5=$E28,$F28=1),중요_시점_표식,"")),"")</f>
        <v/>
      </c>
      <c r="AG28" s="278" t="str">
        <f ca="1">IFERROR(IF(LEN(중요_시점[[#This Row],[일수]])=0,"",IF(AND(AG$5=$E28,$F28=1),중요_시점_표식,"")),"")</f>
        <v/>
      </c>
      <c r="AH28" s="278" t="str">
        <f ca="1">IFERROR(IF(LEN(중요_시점[[#This Row],[일수]])=0,"",IF(AND(AH$5=$E28,$F28=1),중요_시점_표식,"")),"")</f>
        <v/>
      </c>
      <c r="AI28" s="278" t="str">
        <f ca="1">IFERROR(IF(LEN(중요_시점[[#This Row],[일수]])=0,"",IF(AND(AI$5=$E28,$F28=1),중요_시점_표식,"")),"")</f>
        <v/>
      </c>
      <c r="AJ28" s="278" t="str">
        <f ca="1">IFERROR(IF(LEN(중요_시점[[#This Row],[일수]])=0,"",IF(AND(AJ$5=$E28,$F28=1),중요_시점_표식,"")),"")</f>
        <v/>
      </c>
      <c r="AK28" s="278" t="str">
        <f ca="1">IFERROR(IF(LEN(중요_시점[[#This Row],[일수]])=0,"",IF(AND(AK$5=$E28,$F28=1),중요_시점_표식,"")),"")</f>
        <v/>
      </c>
      <c r="AL28" s="278" t="str">
        <f ca="1">IFERROR(IF(LEN(중요_시점[[#This Row],[일수]])=0,"",IF(AND(AL$5=$E28,$F28=1),중요_시점_표식,"")),"")</f>
        <v/>
      </c>
      <c r="AM28" s="278" t="str">
        <f ca="1">IFERROR(IF(LEN(중요_시점[[#This Row],[일수]])=0,"",IF(AND(AM$5=$E28,$F28=1),중요_시점_표식,"")),"")</f>
        <v/>
      </c>
      <c r="AN28" s="278" t="str">
        <f ca="1">IFERROR(IF(LEN(중요_시점[[#This Row],[일수]])=0,"",IF(AND(AN$5=$E28,$F28=1),중요_시점_표식,"")),"")</f>
        <v/>
      </c>
      <c r="AO28" s="278" t="str">
        <f ca="1">IFERROR(IF(LEN(중요_시점[[#This Row],[일수]])=0,"",IF(AND(AO$5=$E28,$F28=1),중요_시점_표식,"")),"")</f>
        <v/>
      </c>
      <c r="AP28" s="278" t="str">
        <f ca="1">IFERROR(IF(LEN(중요_시점[[#This Row],[일수]])=0,"",IF(AND(AP$5=$E28,$F28=1),중요_시점_표식,"")),"")</f>
        <v/>
      </c>
      <c r="AQ28" s="278" t="str">
        <f ca="1">IFERROR(IF(LEN(중요_시점[[#This Row],[일수]])=0,"",IF(AND(AQ$5=$E28,$F28=1),중요_시점_표식,"")),"")</f>
        <v/>
      </c>
      <c r="AR28" s="278" t="str">
        <f ca="1">IFERROR(IF(LEN(중요_시점[[#This Row],[일수]])=0,"",IF(AND(AR$5=$E28,$F28=1),중요_시점_표식,"")),"")</f>
        <v/>
      </c>
      <c r="AS28" s="278" t="str">
        <f ca="1">IFERROR(IF(LEN(중요_시점[[#This Row],[일수]])=0,"",IF(AND(AS$5=$E28,$F28=1),중요_시점_표식,"")),"")</f>
        <v/>
      </c>
      <c r="AT28" s="278" t="str">
        <f ca="1">IFERROR(IF(LEN(중요_시점[[#This Row],[일수]])=0,"",IF(AND(AT$5=$E28,$F28=1),중요_시점_표식,"")),"")</f>
        <v/>
      </c>
      <c r="AU28" s="278" t="str">
        <f ca="1">IFERROR(IF(LEN(중요_시점[[#This Row],[일수]])=0,"",IF(AND(AU$5=$E28,$F28=1),중요_시점_표식,"")),"")</f>
        <v/>
      </c>
      <c r="AV28" s="278" t="str">
        <f ca="1">IFERROR(IF(LEN(중요_시점[[#This Row],[일수]])=0,"",IF(AND(AV$5=$E28,$F28=1),중요_시점_표식,"")),"")</f>
        <v/>
      </c>
      <c r="AW28" s="278" t="str">
        <f ca="1">IFERROR(IF(LEN(중요_시점[[#This Row],[일수]])=0,"",IF(AND(AW$5=$E28,$F28=1),중요_시점_표식,"")),"")</f>
        <v/>
      </c>
      <c r="AX28" s="278" t="str">
        <f ca="1">IFERROR(IF(LEN(중요_시점[[#This Row],[일수]])=0,"",IF(AND(AX$5=$E28,$F28=1),중요_시점_표식,"")),"")</f>
        <v/>
      </c>
      <c r="AY28" s="278" t="str">
        <f ca="1">IFERROR(IF(LEN(중요_시점[[#This Row],[일수]])=0,"",IF(AND(AY$5=$E28,$F28=1),중요_시점_표식,"")),"")</f>
        <v/>
      </c>
      <c r="AZ28" s="278" t="str">
        <f ca="1">IFERROR(IF(LEN(중요_시점[[#This Row],[일수]])=0,"",IF(AND(AZ$5=$E28,$F28=1),중요_시점_표식,"")),"")</f>
        <v/>
      </c>
      <c r="BA28" s="278" t="str">
        <f ca="1">IFERROR(IF(LEN(중요_시점[[#This Row],[일수]])=0,"",IF(AND(BA$5=$E28,$F28=1),중요_시점_표식,"")),"")</f>
        <v/>
      </c>
      <c r="BB28" s="278" t="str">
        <f ca="1">IFERROR(IF(LEN(중요_시점[[#This Row],[일수]])=0,"",IF(AND(BB$5=$E28,$F28=1),중요_시점_표식,"")),"")</f>
        <v/>
      </c>
      <c r="BC28" s="278" t="str">
        <f ca="1">IFERROR(IF(LEN(중요_시점[[#This Row],[일수]])=0,"",IF(AND(BC$5=$E28,$F28=1),중요_시점_표식,"")),"")</f>
        <v/>
      </c>
      <c r="BD28" s="278" t="str">
        <f ca="1">IFERROR(IF(LEN(중요_시점[[#This Row],[일수]])=0,"",IF(AND(BD$5=$E28,$F28=1),중요_시점_표식,"")),"")</f>
        <v/>
      </c>
      <c r="BE28" s="278" t="str">
        <f ca="1">IFERROR(IF(LEN(중요_시점[[#This Row],[일수]])=0,"",IF(AND(BE$5=$E28,$F28=1),중요_시점_표식,"")),"")</f>
        <v/>
      </c>
      <c r="BF28" s="278" t="str">
        <f ca="1">IFERROR(IF(LEN(중요_시점[[#This Row],[일수]])=0,"",IF(AND(BF$5=$E28,$F28=1),중요_시점_표식,"")),"")</f>
        <v/>
      </c>
      <c r="BG28" s="278" t="str">
        <f ca="1">IFERROR(IF(LEN(중요_시점[[#This Row],[일수]])=0,"",IF(AND(BG$5=$E28,$F28=1),중요_시점_표식,"")),"")</f>
        <v/>
      </c>
      <c r="BH28" s="278" t="str">
        <f ca="1">IFERROR(IF(LEN(중요_시점[[#This Row],[일수]])=0,"",IF(AND(BH$5=$E28,$F28=1),중요_시점_표식,"")),"")</f>
        <v/>
      </c>
      <c r="BI28" s="278" t="str">
        <f ca="1">IFERROR(IF(LEN(중요_시점[[#This Row],[일수]])=0,"",IF(AND(BI$5=$E28,$F28=1),중요_시점_표식,"")),"")</f>
        <v/>
      </c>
      <c r="BJ28" s="278" t="str">
        <f ca="1">IFERROR(IF(LEN(중요_시점[[#This Row],[일수]])=0,"",IF(AND(BJ$5=$E28,$F28=1),중요_시점_표식,"")),"")</f>
        <v/>
      </c>
      <c r="BK28" s="278" t="str">
        <f ca="1">IFERROR(IF(LEN(중요_시점[[#This Row],[일수]])=0,"",IF(AND(BK$5=$E28,$F28=1),중요_시점_표식,"")),"")</f>
        <v/>
      </c>
    </row>
    <row r="29" spans="1:63" s="279" customFormat="1" ht="30" customHeight="1">
      <c r="A29" s="271"/>
      <c r="B29" s="272" t="s">
        <v>1608</v>
      </c>
      <c r="C29" s="272"/>
      <c r="D29" s="256"/>
      <c r="E29" s="273">
        <f ca="1">TODAY()+80</f>
        <v>44594</v>
      </c>
      <c r="F29" s="274">
        <v>5</v>
      </c>
      <c r="G29" s="277"/>
      <c r="H29" s="278" t="str">
        <f ca="1">IFERROR(IF(LEN(중요_시점[[#This Row],[일수]])=0,"",IF(AND(H$5=$E29,$F29=1),중요_시점_표식,"")),"")</f>
        <v/>
      </c>
      <c r="I29" s="278" t="str">
        <f ca="1">IFERROR(IF(LEN(중요_시점[[#This Row],[일수]])=0,"",IF(AND(I$5=$E29,$F29=1),중요_시점_표식,"")),"")</f>
        <v/>
      </c>
      <c r="J29" s="278" t="str">
        <f ca="1">IFERROR(IF(LEN(중요_시점[[#This Row],[일수]])=0,"",IF(AND(J$5=$E29,$F29=1),중요_시점_표식,"")),"")</f>
        <v/>
      </c>
      <c r="K29" s="278" t="str">
        <f ca="1">IFERROR(IF(LEN(중요_시점[[#This Row],[일수]])=0,"",IF(AND(K$5=$E29,$F29=1),중요_시점_표식,"")),"")</f>
        <v/>
      </c>
      <c r="L29" s="278" t="str">
        <f ca="1">IFERROR(IF(LEN(중요_시점[[#This Row],[일수]])=0,"",IF(AND(L$5=$E29,$F29=1),중요_시점_표식,"")),"")</f>
        <v/>
      </c>
      <c r="M29" s="278" t="str">
        <f ca="1">IFERROR(IF(LEN(중요_시점[[#This Row],[일수]])=0,"",IF(AND(M$5=$E29,$F29=1),중요_시점_표식,"")),"")</f>
        <v/>
      </c>
      <c r="N29" s="278" t="str">
        <f ca="1">IFERROR(IF(LEN(중요_시점[[#This Row],[일수]])=0,"",IF(AND(N$5=$E29,$F29=1),중요_시점_표식,"")),"")</f>
        <v/>
      </c>
      <c r="O29" s="278" t="str">
        <f ca="1">IFERROR(IF(LEN(중요_시점[[#This Row],[일수]])=0,"",IF(AND(O$5=$E29,$F29=1),중요_시점_표식,"")),"")</f>
        <v/>
      </c>
      <c r="P29" s="278" t="str">
        <f ca="1">IFERROR(IF(LEN(중요_시점[[#This Row],[일수]])=0,"",IF(AND(P$5=$E29,$F29=1),중요_시점_표식,"")),"")</f>
        <v/>
      </c>
      <c r="Q29" s="278" t="str">
        <f ca="1">IFERROR(IF(LEN(중요_시점[[#This Row],[일수]])=0,"",IF(AND(Q$5=$E29,$F29=1),중요_시점_표식,"")),"")</f>
        <v/>
      </c>
      <c r="R29" s="278" t="str">
        <f ca="1">IFERROR(IF(LEN(중요_시점[[#This Row],[일수]])=0,"",IF(AND(R$5=$E29,$F29=1),중요_시점_표식,"")),"")</f>
        <v/>
      </c>
      <c r="S29" s="278" t="str">
        <f ca="1">IFERROR(IF(LEN(중요_시점[[#This Row],[일수]])=0,"",IF(AND(S$5=$E29,$F29=1),중요_시점_표식,"")),"")</f>
        <v/>
      </c>
      <c r="T29" s="278" t="str">
        <f ca="1">IFERROR(IF(LEN(중요_시점[[#This Row],[일수]])=0,"",IF(AND(T$5=$E29,$F29=1),중요_시점_표식,"")),"")</f>
        <v/>
      </c>
      <c r="U29" s="278" t="str">
        <f ca="1">IFERROR(IF(LEN(중요_시점[[#This Row],[일수]])=0,"",IF(AND(U$5=$E29,$F29=1),중요_시점_표식,"")),"")</f>
        <v/>
      </c>
      <c r="V29" s="278" t="str">
        <f ca="1">IFERROR(IF(LEN(중요_시점[[#This Row],[일수]])=0,"",IF(AND(V$5=$E29,$F29=1),중요_시점_표식,"")),"")</f>
        <v/>
      </c>
      <c r="W29" s="278" t="str">
        <f ca="1">IFERROR(IF(LEN(중요_시점[[#This Row],[일수]])=0,"",IF(AND(W$5=$E29,$F29=1),중요_시점_표식,"")),"")</f>
        <v/>
      </c>
      <c r="X29" s="278" t="str">
        <f ca="1">IFERROR(IF(LEN(중요_시점[[#This Row],[일수]])=0,"",IF(AND(X$5=$E29,$F29=1),중요_시점_표식,"")),"")</f>
        <v/>
      </c>
      <c r="Y29" s="278" t="str">
        <f ca="1">IFERROR(IF(LEN(중요_시점[[#This Row],[일수]])=0,"",IF(AND(Y$5=$E29,$F29=1),중요_시점_표식,"")),"")</f>
        <v/>
      </c>
      <c r="Z29" s="278" t="str">
        <f ca="1">IFERROR(IF(LEN(중요_시점[[#This Row],[일수]])=0,"",IF(AND(Z$5=$E29,$F29=1),중요_시점_표식,"")),"")</f>
        <v/>
      </c>
      <c r="AA29" s="278" t="str">
        <f ca="1">IFERROR(IF(LEN(중요_시점[[#This Row],[일수]])=0,"",IF(AND(AA$5=$E29,$F29=1),중요_시점_표식,"")),"")</f>
        <v/>
      </c>
      <c r="AB29" s="278" t="str">
        <f ca="1">IFERROR(IF(LEN(중요_시점[[#This Row],[일수]])=0,"",IF(AND(AB$5=$E29,$F29=1),중요_시점_표식,"")),"")</f>
        <v/>
      </c>
      <c r="AC29" s="278" t="str">
        <f ca="1">IFERROR(IF(LEN(중요_시점[[#This Row],[일수]])=0,"",IF(AND(AC$5=$E29,$F29=1),중요_시점_표식,"")),"")</f>
        <v/>
      </c>
      <c r="AD29" s="278" t="str">
        <f ca="1">IFERROR(IF(LEN(중요_시점[[#This Row],[일수]])=0,"",IF(AND(AD$5=$E29,$F29=1),중요_시점_표식,"")),"")</f>
        <v/>
      </c>
      <c r="AE29" s="278" t="str">
        <f ca="1">IFERROR(IF(LEN(중요_시점[[#This Row],[일수]])=0,"",IF(AND(AE$5=$E29,$F29=1),중요_시점_표식,"")),"")</f>
        <v/>
      </c>
      <c r="AF29" s="278" t="str">
        <f ca="1">IFERROR(IF(LEN(중요_시점[[#This Row],[일수]])=0,"",IF(AND(AF$5=$E29,$F29=1),중요_시점_표식,"")),"")</f>
        <v/>
      </c>
      <c r="AG29" s="278" t="str">
        <f ca="1">IFERROR(IF(LEN(중요_시점[[#This Row],[일수]])=0,"",IF(AND(AG$5=$E29,$F29=1),중요_시점_표식,"")),"")</f>
        <v/>
      </c>
      <c r="AH29" s="278" t="str">
        <f ca="1">IFERROR(IF(LEN(중요_시점[[#This Row],[일수]])=0,"",IF(AND(AH$5=$E29,$F29=1),중요_시점_표식,"")),"")</f>
        <v/>
      </c>
      <c r="AI29" s="278" t="str">
        <f ca="1">IFERROR(IF(LEN(중요_시점[[#This Row],[일수]])=0,"",IF(AND(AI$5=$E29,$F29=1),중요_시점_표식,"")),"")</f>
        <v/>
      </c>
      <c r="AJ29" s="278" t="str">
        <f ca="1">IFERROR(IF(LEN(중요_시점[[#This Row],[일수]])=0,"",IF(AND(AJ$5=$E29,$F29=1),중요_시점_표식,"")),"")</f>
        <v/>
      </c>
      <c r="AK29" s="278" t="str">
        <f ca="1">IFERROR(IF(LEN(중요_시점[[#This Row],[일수]])=0,"",IF(AND(AK$5=$E29,$F29=1),중요_시점_표식,"")),"")</f>
        <v/>
      </c>
      <c r="AL29" s="278" t="str">
        <f ca="1">IFERROR(IF(LEN(중요_시점[[#This Row],[일수]])=0,"",IF(AND(AL$5=$E29,$F29=1),중요_시점_표식,"")),"")</f>
        <v/>
      </c>
      <c r="AM29" s="278" t="str">
        <f ca="1">IFERROR(IF(LEN(중요_시점[[#This Row],[일수]])=0,"",IF(AND(AM$5=$E29,$F29=1),중요_시점_표식,"")),"")</f>
        <v/>
      </c>
      <c r="AN29" s="278" t="str">
        <f ca="1">IFERROR(IF(LEN(중요_시점[[#This Row],[일수]])=0,"",IF(AND(AN$5=$E29,$F29=1),중요_시점_표식,"")),"")</f>
        <v/>
      </c>
      <c r="AO29" s="278" t="str">
        <f ca="1">IFERROR(IF(LEN(중요_시점[[#This Row],[일수]])=0,"",IF(AND(AO$5=$E29,$F29=1),중요_시점_표식,"")),"")</f>
        <v/>
      </c>
      <c r="AP29" s="278" t="str">
        <f ca="1">IFERROR(IF(LEN(중요_시점[[#This Row],[일수]])=0,"",IF(AND(AP$5=$E29,$F29=1),중요_시점_표식,"")),"")</f>
        <v/>
      </c>
      <c r="AQ29" s="278" t="str">
        <f ca="1">IFERROR(IF(LEN(중요_시점[[#This Row],[일수]])=0,"",IF(AND(AQ$5=$E29,$F29=1),중요_시점_표식,"")),"")</f>
        <v/>
      </c>
      <c r="AR29" s="278" t="str">
        <f ca="1">IFERROR(IF(LEN(중요_시점[[#This Row],[일수]])=0,"",IF(AND(AR$5=$E29,$F29=1),중요_시점_표식,"")),"")</f>
        <v/>
      </c>
      <c r="AS29" s="278" t="str">
        <f ca="1">IFERROR(IF(LEN(중요_시점[[#This Row],[일수]])=0,"",IF(AND(AS$5=$E29,$F29=1),중요_시점_표식,"")),"")</f>
        <v/>
      </c>
      <c r="AT29" s="278" t="str">
        <f ca="1">IFERROR(IF(LEN(중요_시점[[#This Row],[일수]])=0,"",IF(AND(AT$5=$E29,$F29=1),중요_시점_표식,"")),"")</f>
        <v/>
      </c>
      <c r="AU29" s="278" t="str">
        <f ca="1">IFERROR(IF(LEN(중요_시점[[#This Row],[일수]])=0,"",IF(AND(AU$5=$E29,$F29=1),중요_시점_표식,"")),"")</f>
        <v/>
      </c>
      <c r="AV29" s="278" t="str">
        <f ca="1">IFERROR(IF(LEN(중요_시점[[#This Row],[일수]])=0,"",IF(AND(AV$5=$E29,$F29=1),중요_시점_표식,"")),"")</f>
        <v/>
      </c>
      <c r="AW29" s="278" t="str">
        <f ca="1">IFERROR(IF(LEN(중요_시점[[#This Row],[일수]])=0,"",IF(AND(AW$5=$E29,$F29=1),중요_시점_표식,"")),"")</f>
        <v/>
      </c>
      <c r="AX29" s="278" t="str">
        <f ca="1">IFERROR(IF(LEN(중요_시점[[#This Row],[일수]])=0,"",IF(AND(AX$5=$E29,$F29=1),중요_시점_표식,"")),"")</f>
        <v/>
      </c>
      <c r="AY29" s="278" t="str">
        <f ca="1">IFERROR(IF(LEN(중요_시점[[#This Row],[일수]])=0,"",IF(AND(AY$5=$E29,$F29=1),중요_시점_표식,"")),"")</f>
        <v/>
      </c>
      <c r="AZ29" s="278" t="str">
        <f ca="1">IFERROR(IF(LEN(중요_시점[[#This Row],[일수]])=0,"",IF(AND(AZ$5=$E29,$F29=1),중요_시점_표식,"")),"")</f>
        <v/>
      </c>
      <c r="BA29" s="278" t="str">
        <f ca="1">IFERROR(IF(LEN(중요_시점[[#This Row],[일수]])=0,"",IF(AND(BA$5=$E29,$F29=1),중요_시점_표식,"")),"")</f>
        <v/>
      </c>
      <c r="BB29" s="278" t="str">
        <f ca="1">IFERROR(IF(LEN(중요_시점[[#This Row],[일수]])=0,"",IF(AND(BB$5=$E29,$F29=1),중요_시점_표식,"")),"")</f>
        <v/>
      </c>
      <c r="BC29" s="278" t="str">
        <f ca="1">IFERROR(IF(LEN(중요_시점[[#This Row],[일수]])=0,"",IF(AND(BC$5=$E29,$F29=1),중요_시점_표식,"")),"")</f>
        <v/>
      </c>
      <c r="BD29" s="278" t="str">
        <f ca="1">IFERROR(IF(LEN(중요_시점[[#This Row],[일수]])=0,"",IF(AND(BD$5=$E29,$F29=1),중요_시점_표식,"")),"")</f>
        <v/>
      </c>
      <c r="BE29" s="278" t="str">
        <f ca="1">IFERROR(IF(LEN(중요_시점[[#This Row],[일수]])=0,"",IF(AND(BE$5=$E29,$F29=1),중요_시점_표식,"")),"")</f>
        <v/>
      </c>
      <c r="BF29" s="278" t="str">
        <f ca="1">IFERROR(IF(LEN(중요_시점[[#This Row],[일수]])=0,"",IF(AND(BF$5=$E29,$F29=1),중요_시점_표식,"")),"")</f>
        <v/>
      </c>
      <c r="BG29" s="278" t="str">
        <f ca="1">IFERROR(IF(LEN(중요_시점[[#This Row],[일수]])=0,"",IF(AND(BG$5=$E29,$F29=1),중요_시점_표식,"")),"")</f>
        <v/>
      </c>
      <c r="BH29" s="278" t="str">
        <f ca="1">IFERROR(IF(LEN(중요_시점[[#This Row],[일수]])=0,"",IF(AND(BH$5=$E29,$F29=1),중요_시점_표식,"")),"")</f>
        <v/>
      </c>
      <c r="BI29" s="278" t="str">
        <f ca="1">IFERROR(IF(LEN(중요_시점[[#This Row],[일수]])=0,"",IF(AND(BI$5=$E29,$F29=1),중요_시점_표식,"")),"")</f>
        <v/>
      </c>
      <c r="BJ29" s="278" t="str">
        <f ca="1">IFERROR(IF(LEN(중요_시점[[#This Row],[일수]])=0,"",IF(AND(BJ$5=$E29,$F29=1),중요_시점_표식,"")),"")</f>
        <v/>
      </c>
      <c r="BK29" s="278" t="str">
        <f ca="1">IFERROR(IF(LEN(중요_시점[[#This Row],[일수]])=0,"",IF(AND(BK$5=$E29,$F29=1),중요_시점_표식,"")),"")</f>
        <v/>
      </c>
    </row>
    <row r="30" spans="1:63" s="279" customFormat="1" ht="30" customHeight="1">
      <c r="A30" s="271"/>
      <c r="B30" s="272" t="s">
        <v>1609</v>
      </c>
      <c r="C30" s="272"/>
      <c r="D30" s="256"/>
      <c r="E30" s="273"/>
      <c r="F30" s="274"/>
      <c r="G30" s="277"/>
      <c r="H30" s="278" t="str">
        <f>IFERROR(IF(LEN(중요_시점[[#This Row],[일수]])=0,"",IF(AND(H$5=$E30,$F30=1),중요_시점_표식,"")),"")</f>
        <v/>
      </c>
      <c r="I30" s="278" t="str">
        <f>IFERROR(IF(LEN(중요_시점[[#This Row],[일수]])=0,"",IF(AND(I$5=$E30,$F30=1),중요_시점_표식,"")),"")</f>
        <v/>
      </c>
      <c r="J30" s="278" t="str">
        <f>IFERROR(IF(LEN(중요_시점[[#This Row],[일수]])=0,"",IF(AND(J$5=$E30,$F30=1),중요_시점_표식,"")),"")</f>
        <v/>
      </c>
      <c r="K30" s="278" t="str">
        <f>IFERROR(IF(LEN(중요_시점[[#This Row],[일수]])=0,"",IF(AND(K$5=$E30,$F30=1),중요_시점_표식,"")),"")</f>
        <v/>
      </c>
      <c r="L30" s="278" t="str">
        <f>IFERROR(IF(LEN(중요_시점[[#This Row],[일수]])=0,"",IF(AND(L$5=$E30,$F30=1),중요_시점_표식,"")),"")</f>
        <v/>
      </c>
      <c r="M30" s="278" t="str">
        <f>IFERROR(IF(LEN(중요_시점[[#This Row],[일수]])=0,"",IF(AND(M$5=$E30,$F30=1),중요_시점_표식,"")),"")</f>
        <v/>
      </c>
      <c r="N30" s="278" t="str">
        <f>IFERROR(IF(LEN(중요_시점[[#This Row],[일수]])=0,"",IF(AND(N$5=$E30,$F30=1),중요_시점_표식,"")),"")</f>
        <v/>
      </c>
      <c r="O30" s="278" t="str">
        <f>IFERROR(IF(LEN(중요_시점[[#This Row],[일수]])=0,"",IF(AND(O$5=$E30,$F30=1),중요_시점_표식,"")),"")</f>
        <v/>
      </c>
      <c r="P30" s="278" t="str">
        <f>IFERROR(IF(LEN(중요_시점[[#This Row],[일수]])=0,"",IF(AND(P$5=$E30,$F30=1),중요_시점_표식,"")),"")</f>
        <v/>
      </c>
      <c r="Q30" s="278" t="str">
        <f>IFERROR(IF(LEN(중요_시점[[#This Row],[일수]])=0,"",IF(AND(Q$5=$E30,$F30=1),중요_시점_표식,"")),"")</f>
        <v/>
      </c>
      <c r="R30" s="278" t="str">
        <f>IFERROR(IF(LEN(중요_시점[[#This Row],[일수]])=0,"",IF(AND(R$5=$E30,$F30=1),중요_시점_표식,"")),"")</f>
        <v/>
      </c>
      <c r="S30" s="278" t="str">
        <f>IFERROR(IF(LEN(중요_시점[[#This Row],[일수]])=0,"",IF(AND(S$5=$E30,$F30=1),중요_시점_표식,"")),"")</f>
        <v/>
      </c>
      <c r="T30" s="278" t="str">
        <f>IFERROR(IF(LEN(중요_시점[[#This Row],[일수]])=0,"",IF(AND(T$5=$E30,$F30=1),중요_시점_표식,"")),"")</f>
        <v/>
      </c>
      <c r="U30" s="278" t="str">
        <f>IFERROR(IF(LEN(중요_시점[[#This Row],[일수]])=0,"",IF(AND(U$5=$E30,$F30=1),중요_시점_표식,"")),"")</f>
        <v/>
      </c>
      <c r="V30" s="278" t="str">
        <f>IFERROR(IF(LEN(중요_시점[[#This Row],[일수]])=0,"",IF(AND(V$5=$E30,$F30=1),중요_시점_표식,"")),"")</f>
        <v/>
      </c>
      <c r="W30" s="278" t="str">
        <f>IFERROR(IF(LEN(중요_시점[[#This Row],[일수]])=0,"",IF(AND(W$5=$E30,$F30=1),중요_시점_표식,"")),"")</f>
        <v/>
      </c>
      <c r="X30" s="278" t="str">
        <f>IFERROR(IF(LEN(중요_시점[[#This Row],[일수]])=0,"",IF(AND(X$5=$E30,$F30=1),중요_시점_표식,"")),"")</f>
        <v/>
      </c>
      <c r="Y30" s="278" t="str">
        <f>IFERROR(IF(LEN(중요_시점[[#This Row],[일수]])=0,"",IF(AND(Y$5=$E30,$F30=1),중요_시점_표식,"")),"")</f>
        <v/>
      </c>
      <c r="Z30" s="278" t="str">
        <f>IFERROR(IF(LEN(중요_시점[[#This Row],[일수]])=0,"",IF(AND(Z$5=$E30,$F30=1),중요_시점_표식,"")),"")</f>
        <v/>
      </c>
      <c r="AA30" s="278" t="str">
        <f>IFERROR(IF(LEN(중요_시점[[#This Row],[일수]])=0,"",IF(AND(AA$5=$E30,$F30=1),중요_시점_표식,"")),"")</f>
        <v/>
      </c>
      <c r="AB30" s="278" t="str">
        <f>IFERROR(IF(LEN(중요_시점[[#This Row],[일수]])=0,"",IF(AND(AB$5=$E30,$F30=1),중요_시점_표식,"")),"")</f>
        <v/>
      </c>
      <c r="AC30" s="278" t="str">
        <f>IFERROR(IF(LEN(중요_시점[[#This Row],[일수]])=0,"",IF(AND(AC$5=$E30,$F30=1),중요_시점_표식,"")),"")</f>
        <v/>
      </c>
      <c r="AD30" s="278" t="str">
        <f>IFERROR(IF(LEN(중요_시점[[#This Row],[일수]])=0,"",IF(AND(AD$5=$E30,$F30=1),중요_시점_표식,"")),"")</f>
        <v/>
      </c>
      <c r="AE30" s="278" t="str">
        <f>IFERROR(IF(LEN(중요_시점[[#This Row],[일수]])=0,"",IF(AND(AE$5=$E30,$F30=1),중요_시점_표식,"")),"")</f>
        <v/>
      </c>
      <c r="AF30" s="278" t="str">
        <f>IFERROR(IF(LEN(중요_시점[[#This Row],[일수]])=0,"",IF(AND(AF$5=$E30,$F30=1),중요_시점_표식,"")),"")</f>
        <v/>
      </c>
      <c r="AG30" s="278" t="str">
        <f>IFERROR(IF(LEN(중요_시점[[#This Row],[일수]])=0,"",IF(AND(AG$5=$E30,$F30=1),중요_시점_표식,"")),"")</f>
        <v/>
      </c>
      <c r="AH30" s="278" t="str">
        <f>IFERROR(IF(LEN(중요_시점[[#This Row],[일수]])=0,"",IF(AND(AH$5=$E30,$F30=1),중요_시점_표식,"")),"")</f>
        <v/>
      </c>
      <c r="AI30" s="278" t="str">
        <f>IFERROR(IF(LEN(중요_시점[[#This Row],[일수]])=0,"",IF(AND(AI$5=$E30,$F30=1),중요_시점_표식,"")),"")</f>
        <v/>
      </c>
      <c r="AJ30" s="278" t="str">
        <f>IFERROR(IF(LEN(중요_시점[[#This Row],[일수]])=0,"",IF(AND(AJ$5=$E30,$F30=1),중요_시점_표식,"")),"")</f>
        <v/>
      </c>
      <c r="AK30" s="278" t="str">
        <f>IFERROR(IF(LEN(중요_시점[[#This Row],[일수]])=0,"",IF(AND(AK$5=$E30,$F30=1),중요_시점_표식,"")),"")</f>
        <v/>
      </c>
      <c r="AL30" s="278" t="str">
        <f>IFERROR(IF(LEN(중요_시점[[#This Row],[일수]])=0,"",IF(AND(AL$5=$E30,$F30=1),중요_시점_표식,"")),"")</f>
        <v/>
      </c>
      <c r="AM30" s="278" t="str">
        <f>IFERROR(IF(LEN(중요_시점[[#This Row],[일수]])=0,"",IF(AND(AM$5=$E30,$F30=1),중요_시점_표식,"")),"")</f>
        <v/>
      </c>
      <c r="AN30" s="278" t="str">
        <f>IFERROR(IF(LEN(중요_시점[[#This Row],[일수]])=0,"",IF(AND(AN$5=$E30,$F30=1),중요_시점_표식,"")),"")</f>
        <v/>
      </c>
      <c r="AO30" s="278" t="str">
        <f>IFERROR(IF(LEN(중요_시점[[#This Row],[일수]])=0,"",IF(AND(AO$5=$E30,$F30=1),중요_시점_표식,"")),"")</f>
        <v/>
      </c>
      <c r="AP30" s="278" t="str">
        <f>IFERROR(IF(LEN(중요_시점[[#This Row],[일수]])=0,"",IF(AND(AP$5=$E30,$F30=1),중요_시점_표식,"")),"")</f>
        <v/>
      </c>
      <c r="AQ30" s="278" t="str">
        <f>IFERROR(IF(LEN(중요_시점[[#This Row],[일수]])=0,"",IF(AND(AQ$5=$E30,$F30=1),중요_시점_표식,"")),"")</f>
        <v/>
      </c>
      <c r="AR30" s="278" t="str">
        <f>IFERROR(IF(LEN(중요_시점[[#This Row],[일수]])=0,"",IF(AND(AR$5=$E30,$F30=1),중요_시점_표식,"")),"")</f>
        <v/>
      </c>
      <c r="AS30" s="278" t="str">
        <f>IFERROR(IF(LEN(중요_시점[[#This Row],[일수]])=0,"",IF(AND(AS$5=$E30,$F30=1),중요_시점_표식,"")),"")</f>
        <v/>
      </c>
      <c r="AT30" s="278" t="str">
        <f>IFERROR(IF(LEN(중요_시점[[#This Row],[일수]])=0,"",IF(AND(AT$5=$E30,$F30=1),중요_시점_표식,"")),"")</f>
        <v/>
      </c>
      <c r="AU30" s="278" t="str">
        <f>IFERROR(IF(LEN(중요_시점[[#This Row],[일수]])=0,"",IF(AND(AU$5=$E30,$F30=1),중요_시점_표식,"")),"")</f>
        <v/>
      </c>
      <c r="AV30" s="278" t="str">
        <f>IFERROR(IF(LEN(중요_시점[[#This Row],[일수]])=0,"",IF(AND(AV$5=$E30,$F30=1),중요_시점_표식,"")),"")</f>
        <v/>
      </c>
      <c r="AW30" s="278" t="str">
        <f>IFERROR(IF(LEN(중요_시점[[#This Row],[일수]])=0,"",IF(AND(AW$5=$E30,$F30=1),중요_시점_표식,"")),"")</f>
        <v/>
      </c>
      <c r="AX30" s="278" t="str">
        <f>IFERROR(IF(LEN(중요_시점[[#This Row],[일수]])=0,"",IF(AND(AX$5=$E30,$F30=1),중요_시점_표식,"")),"")</f>
        <v/>
      </c>
      <c r="AY30" s="278" t="str">
        <f>IFERROR(IF(LEN(중요_시점[[#This Row],[일수]])=0,"",IF(AND(AY$5=$E30,$F30=1),중요_시점_표식,"")),"")</f>
        <v/>
      </c>
      <c r="AZ30" s="278" t="str">
        <f>IFERROR(IF(LEN(중요_시점[[#This Row],[일수]])=0,"",IF(AND(AZ$5=$E30,$F30=1),중요_시점_표식,"")),"")</f>
        <v/>
      </c>
      <c r="BA30" s="278" t="str">
        <f>IFERROR(IF(LEN(중요_시점[[#This Row],[일수]])=0,"",IF(AND(BA$5=$E30,$F30=1),중요_시점_표식,"")),"")</f>
        <v/>
      </c>
      <c r="BB30" s="278" t="str">
        <f>IFERROR(IF(LEN(중요_시점[[#This Row],[일수]])=0,"",IF(AND(BB$5=$E30,$F30=1),중요_시점_표식,"")),"")</f>
        <v/>
      </c>
      <c r="BC30" s="278" t="str">
        <f>IFERROR(IF(LEN(중요_시점[[#This Row],[일수]])=0,"",IF(AND(BC$5=$E30,$F30=1),중요_시점_표식,"")),"")</f>
        <v/>
      </c>
      <c r="BD30" s="278" t="str">
        <f>IFERROR(IF(LEN(중요_시점[[#This Row],[일수]])=0,"",IF(AND(BD$5=$E30,$F30=1),중요_시점_표식,"")),"")</f>
        <v/>
      </c>
      <c r="BE30" s="278" t="str">
        <f>IFERROR(IF(LEN(중요_시점[[#This Row],[일수]])=0,"",IF(AND(BE$5=$E30,$F30=1),중요_시점_표식,"")),"")</f>
        <v/>
      </c>
      <c r="BF30" s="278" t="str">
        <f>IFERROR(IF(LEN(중요_시점[[#This Row],[일수]])=0,"",IF(AND(BF$5=$E30,$F30=1),중요_시점_표식,"")),"")</f>
        <v/>
      </c>
      <c r="BG30" s="278" t="str">
        <f>IFERROR(IF(LEN(중요_시점[[#This Row],[일수]])=0,"",IF(AND(BG$5=$E30,$F30=1),중요_시점_표식,"")),"")</f>
        <v/>
      </c>
      <c r="BH30" s="278" t="str">
        <f>IFERROR(IF(LEN(중요_시점[[#This Row],[일수]])=0,"",IF(AND(BH$5=$E30,$F30=1),중요_시점_표식,"")),"")</f>
        <v/>
      </c>
      <c r="BI30" s="278" t="str">
        <f>IFERROR(IF(LEN(중요_시점[[#This Row],[일수]])=0,"",IF(AND(BI$5=$E30,$F30=1),중요_시점_표식,"")),"")</f>
        <v/>
      </c>
      <c r="BJ30" s="278" t="str">
        <f>IFERROR(IF(LEN(중요_시점[[#This Row],[일수]])=0,"",IF(AND(BJ$5=$E30,$F30=1),중요_시점_표식,"")),"")</f>
        <v/>
      </c>
      <c r="BK30" s="278" t="str">
        <f>IFERROR(IF(LEN(중요_시점[[#This Row],[일수]])=0,"",IF(AND(BK$5=$E30,$F30=1),중요_시점_표식,"")),"")</f>
        <v/>
      </c>
    </row>
    <row r="31" spans="1:63" s="279" customFormat="1" ht="30" customHeight="1">
      <c r="A31" s="271"/>
      <c r="B31" s="272" t="s">
        <v>1610</v>
      </c>
      <c r="C31" s="272"/>
      <c r="D31" s="256"/>
      <c r="E31" s="273"/>
      <c r="F31" s="274"/>
      <c r="G31" s="277"/>
      <c r="H31" s="278" t="str">
        <f>IFERROR(IF(LEN(중요_시점[[#This Row],[일수]])=0,"",IF(AND(H$5=$E31,$F31=1),중요_시점_표식,"")),"")</f>
        <v/>
      </c>
      <c r="I31" s="278" t="str">
        <f>IFERROR(IF(LEN(중요_시점[[#This Row],[일수]])=0,"",IF(AND(I$5=$E31,$F31=1),중요_시점_표식,"")),"")</f>
        <v/>
      </c>
      <c r="J31" s="278" t="str">
        <f>IFERROR(IF(LEN(중요_시점[[#This Row],[일수]])=0,"",IF(AND(J$5=$E31,$F31=1),중요_시점_표식,"")),"")</f>
        <v/>
      </c>
      <c r="K31" s="278" t="str">
        <f>IFERROR(IF(LEN(중요_시점[[#This Row],[일수]])=0,"",IF(AND(K$5=$E31,$F31=1),중요_시점_표식,"")),"")</f>
        <v/>
      </c>
      <c r="L31" s="278" t="str">
        <f>IFERROR(IF(LEN(중요_시점[[#This Row],[일수]])=0,"",IF(AND(L$5=$E31,$F31=1),중요_시점_표식,"")),"")</f>
        <v/>
      </c>
      <c r="M31" s="278" t="str">
        <f>IFERROR(IF(LEN(중요_시점[[#This Row],[일수]])=0,"",IF(AND(M$5=$E31,$F31=1),중요_시점_표식,"")),"")</f>
        <v/>
      </c>
      <c r="N31" s="278" t="str">
        <f>IFERROR(IF(LEN(중요_시점[[#This Row],[일수]])=0,"",IF(AND(N$5=$E31,$F31=1),중요_시점_표식,"")),"")</f>
        <v/>
      </c>
      <c r="O31" s="278" t="str">
        <f>IFERROR(IF(LEN(중요_시점[[#This Row],[일수]])=0,"",IF(AND(O$5=$E31,$F31=1),중요_시점_표식,"")),"")</f>
        <v/>
      </c>
      <c r="P31" s="278" t="str">
        <f>IFERROR(IF(LEN(중요_시점[[#This Row],[일수]])=0,"",IF(AND(P$5=$E31,$F31=1),중요_시점_표식,"")),"")</f>
        <v/>
      </c>
      <c r="Q31" s="278" t="str">
        <f>IFERROR(IF(LEN(중요_시점[[#This Row],[일수]])=0,"",IF(AND(Q$5=$E31,$F31=1),중요_시점_표식,"")),"")</f>
        <v/>
      </c>
      <c r="R31" s="278" t="str">
        <f>IFERROR(IF(LEN(중요_시점[[#This Row],[일수]])=0,"",IF(AND(R$5=$E31,$F31=1),중요_시점_표식,"")),"")</f>
        <v/>
      </c>
      <c r="S31" s="278" t="str">
        <f>IFERROR(IF(LEN(중요_시점[[#This Row],[일수]])=0,"",IF(AND(S$5=$E31,$F31=1),중요_시점_표식,"")),"")</f>
        <v/>
      </c>
      <c r="T31" s="278" t="str">
        <f>IFERROR(IF(LEN(중요_시점[[#This Row],[일수]])=0,"",IF(AND(T$5=$E31,$F31=1),중요_시점_표식,"")),"")</f>
        <v/>
      </c>
      <c r="U31" s="278" t="str">
        <f>IFERROR(IF(LEN(중요_시점[[#This Row],[일수]])=0,"",IF(AND(U$5=$E31,$F31=1),중요_시점_표식,"")),"")</f>
        <v/>
      </c>
      <c r="V31" s="278" t="str">
        <f>IFERROR(IF(LEN(중요_시점[[#This Row],[일수]])=0,"",IF(AND(V$5=$E31,$F31=1),중요_시점_표식,"")),"")</f>
        <v/>
      </c>
      <c r="W31" s="278" t="str">
        <f>IFERROR(IF(LEN(중요_시점[[#This Row],[일수]])=0,"",IF(AND(W$5=$E31,$F31=1),중요_시점_표식,"")),"")</f>
        <v/>
      </c>
      <c r="X31" s="278" t="str">
        <f>IFERROR(IF(LEN(중요_시점[[#This Row],[일수]])=0,"",IF(AND(X$5=$E31,$F31=1),중요_시점_표식,"")),"")</f>
        <v/>
      </c>
      <c r="Y31" s="278" t="str">
        <f>IFERROR(IF(LEN(중요_시점[[#This Row],[일수]])=0,"",IF(AND(Y$5=$E31,$F31=1),중요_시점_표식,"")),"")</f>
        <v/>
      </c>
      <c r="Z31" s="278" t="str">
        <f>IFERROR(IF(LEN(중요_시점[[#This Row],[일수]])=0,"",IF(AND(Z$5=$E31,$F31=1),중요_시점_표식,"")),"")</f>
        <v/>
      </c>
      <c r="AA31" s="278" t="str">
        <f>IFERROR(IF(LEN(중요_시점[[#This Row],[일수]])=0,"",IF(AND(AA$5=$E31,$F31=1),중요_시점_표식,"")),"")</f>
        <v/>
      </c>
      <c r="AB31" s="278" t="str">
        <f>IFERROR(IF(LEN(중요_시점[[#This Row],[일수]])=0,"",IF(AND(AB$5=$E31,$F31=1),중요_시점_표식,"")),"")</f>
        <v/>
      </c>
      <c r="AC31" s="278" t="str">
        <f>IFERROR(IF(LEN(중요_시점[[#This Row],[일수]])=0,"",IF(AND(AC$5=$E31,$F31=1),중요_시점_표식,"")),"")</f>
        <v/>
      </c>
      <c r="AD31" s="278" t="str">
        <f>IFERROR(IF(LEN(중요_시점[[#This Row],[일수]])=0,"",IF(AND(AD$5=$E31,$F31=1),중요_시점_표식,"")),"")</f>
        <v/>
      </c>
      <c r="AE31" s="278" t="str">
        <f>IFERROR(IF(LEN(중요_시점[[#This Row],[일수]])=0,"",IF(AND(AE$5=$E31,$F31=1),중요_시점_표식,"")),"")</f>
        <v/>
      </c>
      <c r="AF31" s="278" t="str">
        <f>IFERROR(IF(LEN(중요_시점[[#This Row],[일수]])=0,"",IF(AND(AF$5=$E31,$F31=1),중요_시점_표식,"")),"")</f>
        <v/>
      </c>
      <c r="AG31" s="278" t="str">
        <f>IFERROR(IF(LEN(중요_시점[[#This Row],[일수]])=0,"",IF(AND(AG$5=$E31,$F31=1),중요_시점_표식,"")),"")</f>
        <v/>
      </c>
      <c r="AH31" s="278" t="str">
        <f>IFERROR(IF(LEN(중요_시점[[#This Row],[일수]])=0,"",IF(AND(AH$5=$E31,$F31=1),중요_시점_표식,"")),"")</f>
        <v/>
      </c>
      <c r="AI31" s="278" t="str">
        <f>IFERROR(IF(LEN(중요_시점[[#This Row],[일수]])=0,"",IF(AND(AI$5=$E31,$F31=1),중요_시점_표식,"")),"")</f>
        <v/>
      </c>
      <c r="AJ31" s="278" t="str">
        <f>IFERROR(IF(LEN(중요_시점[[#This Row],[일수]])=0,"",IF(AND(AJ$5=$E31,$F31=1),중요_시점_표식,"")),"")</f>
        <v/>
      </c>
      <c r="AK31" s="278" t="str">
        <f>IFERROR(IF(LEN(중요_시점[[#This Row],[일수]])=0,"",IF(AND(AK$5=$E31,$F31=1),중요_시점_표식,"")),"")</f>
        <v/>
      </c>
      <c r="AL31" s="278" t="str">
        <f>IFERROR(IF(LEN(중요_시점[[#This Row],[일수]])=0,"",IF(AND(AL$5=$E31,$F31=1),중요_시점_표식,"")),"")</f>
        <v/>
      </c>
      <c r="AM31" s="278" t="str">
        <f>IFERROR(IF(LEN(중요_시점[[#This Row],[일수]])=0,"",IF(AND(AM$5=$E31,$F31=1),중요_시점_표식,"")),"")</f>
        <v/>
      </c>
      <c r="AN31" s="278" t="str">
        <f>IFERROR(IF(LEN(중요_시점[[#This Row],[일수]])=0,"",IF(AND(AN$5=$E31,$F31=1),중요_시점_표식,"")),"")</f>
        <v/>
      </c>
      <c r="AO31" s="278" t="str">
        <f>IFERROR(IF(LEN(중요_시점[[#This Row],[일수]])=0,"",IF(AND(AO$5=$E31,$F31=1),중요_시점_표식,"")),"")</f>
        <v/>
      </c>
      <c r="AP31" s="278" t="str">
        <f>IFERROR(IF(LEN(중요_시점[[#This Row],[일수]])=0,"",IF(AND(AP$5=$E31,$F31=1),중요_시점_표식,"")),"")</f>
        <v/>
      </c>
      <c r="AQ31" s="278" t="str">
        <f>IFERROR(IF(LEN(중요_시점[[#This Row],[일수]])=0,"",IF(AND(AQ$5=$E31,$F31=1),중요_시점_표식,"")),"")</f>
        <v/>
      </c>
      <c r="AR31" s="278" t="str">
        <f>IFERROR(IF(LEN(중요_시점[[#This Row],[일수]])=0,"",IF(AND(AR$5=$E31,$F31=1),중요_시점_표식,"")),"")</f>
        <v/>
      </c>
      <c r="AS31" s="278" t="str">
        <f>IFERROR(IF(LEN(중요_시점[[#This Row],[일수]])=0,"",IF(AND(AS$5=$E31,$F31=1),중요_시점_표식,"")),"")</f>
        <v/>
      </c>
      <c r="AT31" s="278" t="str">
        <f>IFERROR(IF(LEN(중요_시점[[#This Row],[일수]])=0,"",IF(AND(AT$5=$E31,$F31=1),중요_시점_표식,"")),"")</f>
        <v/>
      </c>
      <c r="AU31" s="278" t="str">
        <f>IFERROR(IF(LEN(중요_시점[[#This Row],[일수]])=0,"",IF(AND(AU$5=$E31,$F31=1),중요_시점_표식,"")),"")</f>
        <v/>
      </c>
      <c r="AV31" s="278" t="str">
        <f>IFERROR(IF(LEN(중요_시점[[#This Row],[일수]])=0,"",IF(AND(AV$5=$E31,$F31=1),중요_시점_표식,"")),"")</f>
        <v/>
      </c>
      <c r="AW31" s="278" t="str">
        <f>IFERROR(IF(LEN(중요_시점[[#This Row],[일수]])=0,"",IF(AND(AW$5=$E31,$F31=1),중요_시점_표식,"")),"")</f>
        <v/>
      </c>
      <c r="AX31" s="278" t="str">
        <f>IFERROR(IF(LEN(중요_시점[[#This Row],[일수]])=0,"",IF(AND(AX$5=$E31,$F31=1),중요_시점_표식,"")),"")</f>
        <v/>
      </c>
      <c r="AY31" s="278" t="str">
        <f>IFERROR(IF(LEN(중요_시점[[#This Row],[일수]])=0,"",IF(AND(AY$5=$E31,$F31=1),중요_시점_표식,"")),"")</f>
        <v/>
      </c>
      <c r="AZ31" s="278" t="str">
        <f>IFERROR(IF(LEN(중요_시점[[#This Row],[일수]])=0,"",IF(AND(AZ$5=$E31,$F31=1),중요_시점_표식,"")),"")</f>
        <v/>
      </c>
      <c r="BA31" s="278" t="str">
        <f>IFERROR(IF(LEN(중요_시점[[#This Row],[일수]])=0,"",IF(AND(BA$5=$E31,$F31=1),중요_시점_표식,"")),"")</f>
        <v/>
      </c>
      <c r="BB31" s="278" t="str">
        <f>IFERROR(IF(LEN(중요_시점[[#This Row],[일수]])=0,"",IF(AND(BB$5=$E31,$F31=1),중요_시점_표식,"")),"")</f>
        <v/>
      </c>
      <c r="BC31" s="278" t="str">
        <f>IFERROR(IF(LEN(중요_시점[[#This Row],[일수]])=0,"",IF(AND(BC$5=$E31,$F31=1),중요_시점_표식,"")),"")</f>
        <v/>
      </c>
      <c r="BD31" s="278" t="str">
        <f>IFERROR(IF(LEN(중요_시점[[#This Row],[일수]])=0,"",IF(AND(BD$5=$E31,$F31=1),중요_시점_표식,"")),"")</f>
        <v/>
      </c>
      <c r="BE31" s="278" t="str">
        <f>IFERROR(IF(LEN(중요_시점[[#This Row],[일수]])=0,"",IF(AND(BE$5=$E31,$F31=1),중요_시점_표식,"")),"")</f>
        <v/>
      </c>
      <c r="BF31" s="278" t="str">
        <f>IFERROR(IF(LEN(중요_시점[[#This Row],[일수]])=0,"",IF(AND(BF$5=$E31,$F31=1),중요_시점_표식,"")),"")</f>
        <v/>
      </c>
      <c r="BG31" s="278" t="str">
        <f>IFERROR(IF(LEN(중요_시점[[#This Row],[일수]])=0,"",IF(AND(BG$5=$E31,$F31=1),중요_시점_표식,"")),"")</f>
        <v/>
      </c>
      <c r="BH31" s="278" t="str">
        <f>IFERROR(IF(LEN(중요_시점[[#This Row],[일수]])=0,"",IF(AND(BH$5=$E31,$F31=1),중요_시점_표식,"")),"")</f>
        <v/>
      </c>
      <c r="BI31" s="278" t="str">
        <f>IFERROR(IF(LEN(중요_시점[[#This Row],[일수]])=0,"",IF(AND(BI$5=$E31,$F31=1),중요_시점_표식,"")),"")</f>
        <v/>
      </c>
      <c r="BJ31" s="278" t="str">
        <f>IFERROR(IF(LEN(중요_시점[[#This Row],[일수]])=0,"",IF(AND(BJ$5=$E31,$F31=1),중요_시점_표식,"")),"")</f>
        <v/>
      </c>
      <c r="BK31" s="278" t="str">
        <f>IFERROR(IF(LEN(중요_시점[[#This Row],[일수]])=0,"",IF(AND(BK$5=$E31,$F31=1),중요_시점_표식,"")),"")</f>
        <v/>
      </c>
    </row>
    <row r="32" spans="1:63" s="279" customFormat="1" ht="30" customHeight="1">
      <c r="A32" s="271" t="s">
        <v>1615</v>
      </c>
      <c r="B32" s="272"/>
      <c r="C32" s="272"/>
      <c r="D32" s="256"/>
      <c r="E32" s="273"/>
      <c r="F32" s="274"/>
      <c r="G32" s="277"/>
      <c r="H32" s="278" t="str">
        <f>IFERROR(IF(LEN(중요_시점[[#This Row],[일수]])=0,"",IF(AND(H$5=$E32,$F32=1),중요_시점_표식,"")),"")</f>
        <v/>
      </c>
      <c r="I32" s="278" t="str">
        <f>IFERROR(IF(LEN(중요_시점[[#This Row],[일수]])=0,"",IF(AND(I$5=$E32,$F32=1),중요_시점_표식,"")),"")</f>
        <v/>
      </c>
      <c r="J32" s="278" t="str">
        <f>IFERROR(IF(LEN(중요_시점[[#This Row],[일수]])=0,"",IF(AND(J$5=$E32,$F32=1),중요_시점_표식,"")),"")</f>
        <v/>
      </c>
      <c r="K32" s="278" t="str">
        <f>IFERROR(IF(LEN(중요_시점[[#This Row],[일수]])=0,"",IF(AND(K$5=$E32,$F32=1),중요_시점_표식,"")),"")</f>
        <v/>
      </c>
      <c r="L32" s="278" t="str">
        <f>IFERROR(IF(LEN(중요_시점[[#This Row],[일수]])=0,"",IF(AND(L$5=$E32,$F32=1),중요_시점_표식,"")),"")</f>
        <v/>
      </c>
      <c r="M32" s="278" t="str">
        <f>IFERROR(IF(LEN(중요_시점[[#This Row],[일수]])=0,"",IF(AND(M$5=$E32,$F32=1),중요_시점_표식,"")),"")</f>
        <v/>
      </c>
      <c r="N32" s="278" t="str">
        <f>IFERROR(IF(LEN(중요_시점[[#This Row],[일수]])=0,"",IF(AND(N$5=$E32,$F32=1),중요_시점_표식,"")),"")</f>
        <v/>
      </c>
      <c r="O32" s="278" t="str">
        <f>IFERROR(IF(LEN(중요_시점[[#This Row],[일수]])=0,"",IF(AND(O$5=$E32,$F32=1),중요_시점_표식,"")),"")</f>
        <v/>
      </c>
      <c r="P32" s="278" t="str">
        <f>IFERROR(IF(LEN(중요_시점[[#This Row],[일수]])=0,"",IF(AND(P$5=$E32,$F32=1),중요_시점_표식,"")),"")</f>
        <v/>
      </c>
      <c r="Q32" s="278" t="str">
        <f>IFERROR(IF(LEN(중요_시점[[#This Row],[일수]])=0,"",IF(AND(Q$5=$E32,$F32=1),중요_시점_표식,"")),"")</f>
        <v/>
      </c>
      <c r="R32" s="278" t="str">
        <f>IFERROR(IF(LEN(중요_시점[[#This Row],[일수]])=0,"",IF(AND(R$5=$E32,$F32=1),중요_시점_표식,"")),"")</f>
        <v/>
      </c>
      <c r="S32" s="278" t="str">
        <f>IFERROR(IF(LEN(중요_시점[[#This Row],[일수]])=0,"",IF(AND(S$5=$E32,$F32=1),중요_시점_표식,"")),"")</f>
        <v/>
      </c>
      <c r="T32" s="278" t="str">
        <f>IFERROR(IF(LEN(중요_시점[[#This Row],[일수]])=0,"",IF(AND(T$5=$E32,$F32=1),중요_시점_표식,"")),"")</f>
        <v/>
      </c>
      <c r="U32" s="278" t="str">
        <f>IFERROR(IF(LEN(중요_시점[[#This Row],[일수]])=0,"",IF(AND(U$5=$E32,$F32=1),중요_시점_표식,"")),"")</f>
        <v/>
      </c>
      <c r="V32" s="278" t="str">
        <f>IFERROR(IF(LEN(중요_시점[[#This Row],[일수]])=0,"",IF(AND(V$5=$E32,$F32=1),중요_시점_표식,"")),"")</f>
        <v/>
      </c>
      <c r="W32" s="278" t="str">
        <f>IFERROR(IF(LEN(중요_시점[[#This Row],[일수]])=0,"",IF(AND(W$5=$E32,$F32=1),중요_시점_표식,"")),"")</f>
        <v/>
      </c>
      <c r="X32" s="278" t="str">
        <f>IFERROR(IF(LEN(중요_시점[[#This Row],[일수]])=0,"",IF(AND(X$5=$E32,$F32=1),중요_시점_표식,"")),"")</f>
        <v/>
      </c>
      <c r="Y32" s="278" t="str">
        <f>IFERROR(IF(LEN(중요_시점[[#This Row],[일수]])=0,"",IF(AND(Y$5=$E32,$F32=1),중요_시점_표식,"")),"")</f>
        <v/>
      </c>
      <c r="Z32" s="278" t="str">
        <f>IFERROR(IF(LEN(중요_시점[[#This Row],[일수]])=0,"",IF(AND(Z$5=$E32,$F32=1),중요_시점_표식,"")),"")</f>
        <v/>
      </c>
      <c r="AA32" s="278" t="str">
        <f>IFERROR(IF(LEN(중요_시점[[#This Row],[일수]])=0,"",IF(AND(AA$5=$E32,$F32=1),중요_시점_표식,"")),"")</f>
        <v/>
      </c>
      <c r="AB32" s="278" t="str">
        <f>IFERROR(IF(LEN(중요_시점[[#This Row],[일수]])=0,"",IF(AND(AB$5=$E32,$F32=1),중요_시점_표식,"")),"")</f>
        <v/>
      </c>
      <c r="AC32" s="278" t="str">
        <f>IFERROR(IF(LEN(중요_시점[[#This Row],[일수]])=0,"",IF(AND(AC$5=$E32,$F32=1),중요_시점_표식,"")),"")</f>
        <v/>
      </c>
      <c r="AD32" s="278" t="str">
        <f>IFERROR(IF(LEN(중요_시점[[#This Row],[일수]])=0,"",IF(AND(AD$5=$E32,$F32=1),중요_시점_표식,"")),"")</f>
        <v/>
      </c>
      <c r="AE32" s="278" t="str">
        <f>IFERROR(IF(LEN(중요_시점[[#This Row],[일수]])=0,"",IF(AND(AE$5=$E32,$F32=1),중요_시점_표식,"")),"")</f>
        <v/>
      </c>
      <c r="AF32" s="278" t="str">
        <f>IFERROR(IF(LEN(중요_시점[[#This Row],[일수]])=0,"",IF(AND(AF$5=$E32,$F32=1),중요_시점_표식,"")),"")</f>
        <v/>
      </c>
      <c r="AG32" s="278" t="str">
        <f>IFERROR(IF(LEN(중요_시점[[#This Row],[일수]])=0,"",IF(AND(AG$5=$E32,$F32=1),중요_시점_표식,"")),"")</f>
        <v/>
      </c>
      <c r="AH32" s="278" t="str">
        <f>IFERROR(IF(LEN(중요_시점[[#This Row],[일수]])=0,"",IF(AND(AH$5=$E32,$F32=1),중요_시점_표식,"")),"")</f>
        <v/>
      </c>
      <c r="AI32" s="278" t="str">
        <f>IFERROR(IF(LEN(중요_시점[[#This Row],[일수]])=0,"",IF(AND(AI$5=$E32,$F32=1),중요_시점_표식,"")),"")</f>
        <v/>
      </c>
      <c r="AJ32" s="278" t="str">
        <f>IFERROR(IF(LEN(중요_시점[[#This Row],[일수]])=0,"",IF(AND(AJ$5=$E32,$F32=1),중요_시점_표식,"")),"")</f>
        <v/>
      </c>
      <c r="AK32" s="278" t="str">
        <f>IFERROR(IF(LEN(중요_시점[[#This Row],[일수]])=0,"",IF(AND(AK$5=$E32,$F32=1),중요_시점_표식,"")),"")</f>
        <v/>
      </c>
      <c r="AL32" s="278" t="str">
        <f>IFERROR(IF(LEN(중요_시점[[#This Row],[일수]])=0,"",IF(AND(AL$5=$E32,$F32=1),중요_시점_표식,"")),"")</f>
        <v/>
      </c>
      <c r="AM32" s="278" t="str">
        <f>IFERROR(IF(LEN(중요_시점[[#This Row],[일수]])=0,"",IF(AND(AM$5=$E32,$F32=1),중요_시점_표식,"")),"")</f>
        <v/>
      </c>
      <c r="AN32" s="278" t="str">
        <f>IFERROR(IF(LEN(중요_시점[[#This Row],[일수]])=0,"",IF(AND(AN$5=$E32,$F32=1),중요_시점_표식,"")),"")</f>
        <v/>
      </c>
      <c r="AO32" s="278" t="str">
        <f>IFERROR(IF(LEN(중요_시점[[#This Row],[일수]])=0,"",IF(AND(AO$5=$E32,$F32=1),중요_시점_표식,"")),"")</f>
        <v/>
      </c>
      <c r="AP32" s="278" t="str">
        <f>IFERROR(IF(LEN(중요_시점[[#This Row],[일수]])=0,"",IF(AND(AP$5=$E32,$F32=1),중요_시점_표식,"")),"")</f>
        <v/>
      </c>
      <c r="AQ32" s="278" t="str">
        <f>IFERROR(IF(LEN(중요_시점[[#This Row],[일수]])=0,"",IF(AND(AQ$5=$E32,$F32=1),중요_시점_표식,"")),"")</f>
        <v/>
      </c>
      <c r="AR32" s="278" t="str">
        <f>IFERROR(IF(LEN(중요_시점[[#This Row],[일수]])=0,"",IF(AND(AR$5=$E32,$F32=1),중요_시점_표식,"")),"")</f>
        <v/>
      </c>
      <c r="AS32" s="278" t="str">
        <f>IFERROR(IF(LEN(중요_시점[[#This Row],[일수]])=0,"",IF(AND(AS$5=$E32,$F32=1),중요_시점_표식,"")),"")</f>
        <v/>
      </c>
      <c r="AT32" s="278" t="str">
        <f>IFERROR(IF(LEN(중요_시점[[#This Row],[일수]])=0,"",IF(AND(AT$5=$E32,$F32=1),중요_시점_표식,"")),"")</f>
        <v/>
      </c>
      <c r="AU32" s="278" t="str">
        <f>IFERROR(IF(LEN(중요_시점[[#This Row],[일수]])=0,"",IF(AND(AU$5=$E32,$F32=1),중요_시점_표식,"")),"")</f>
        <v/>
      </c>
      <c r="AV32" s="278" t="str">
        <f>IFERROR(IF(LEN(중요_시점[[#This Row],[일수]])=0,"",IF(AND(AV$5=$E32,$F32=1),중요_시점_표식,"")),"")</f>
        <v/>
      </c>
      <c r="AW32" s="278" t="str">
        <f>IFERROR(IF(LEN(중요_시점[[#This Row],[일수]])=0,"",IF(AND(AW$5=$E32,$F32=1),중요_시점_표식,"")),"")</f>
        <v/>
      </c>
      <c r="AX32" s="278" t="str">
        <f>IFERROR(IF(LEN(중요_시점[[#This Row],[일수]])=0,"",IF(AND(AX$5=$E32,$F32=1),중요_시점_표식,"")),"")</f>
        <v/>
      </c>
      <c r="AY32" s="278" t="str">
        <f>IFERROR(IF(LEN(중요_시점[[#This Row],[일수]])=0,"",IF(AND(AY$5=$E32,$F32=1),중요_시점_표식,"")),"")</f>
        <v/>
      </c>
      <c r="AZ32" s="278" t="str">
        <f>IFERROR(IF(LEN(중요_시점[[#This Row],[일수]])=0,"",IF(AND(AZ$5=$E32,$F32=1),중요_시점_표식,"")),"")</f>
        <v/>
      </c>
      <c r="BA32" s="278" t="str">
        <f>IFERROR(IF(LEN(중요_시점[[#This Row],[일수]])=0,"",IF(AND(BA$5=$E32,$F32=1),중요_시점_표식,"")),"")</f>
        <v/>
      </c>
      <c r="BB32" s="278" t="str">
        <f>IFERROR(IF(LEN(중요_시점[[#This Row],[일수]])=0,"",IF(AND(BB$5=$E32,$F32=1),중요_시점_표식,"")),"")</f>
        <v/>
      </c>
      <c r="BC32" s="278" t="str">
        <f>IFERROR(IF(LEN(중요_시점[[#This Row],[일수]])=0,"",IF(AND(BC$5=$E32,$F32=1),중요_시점_표식,"")),"")</f>
        <v/>
      </c>
      <c r="BD32" s="278" t="str">
        <f>IFERROR(IF(LEN(중요_시점[[#This Row],[일수]])=0,"",IF(AND(BD$5=$E32,$F32=1),중요_시점_표식,"")),"")</f>
        <v/>
      </c>
      <c r="BE32" s="278" t="str">
        <f>IFERROR(IF(LEN(중요_시점[[#This Row],[일수]])=0,"",IF(AND(BE$5=$E32,$F32=1),중요_시점_표식,"")),"")</f>
        <v/>
      </c>
      <c r="BF32" s="278" t="str">
        <f>IFERROR(IF(LEN(중요_시점[[#This Row],[일수]])=0,"",IF(AND(BF$5=$E32,$F32=1),중요_시점_표식,"")),"")</f>
        <v/>
      </c>
      <c r="BG32" s="278" t="str">
        <f>IFERROR(IF(LEN(중요_시점[[#This Row],[일수]])=0,"",IF(AND(BG$5=$E32,$F32=1),중요_시점_표식,"")),"")</f>
        <v/>
      </c>
      <c r="BH32" s="278" t="str">
        <f>IFERROR(IF(LEN(중요_시점[[#This Row],[일수]])=0,"",IF(AND(BH$5=$E32,$F32=1),중요_시점_표식,"")),"")</f>
        <v/>
      </c>
      <c r="BI32" s="278" t="str">
        <f>IFERROR(IF(LEN(중요_시점[[#This Row],[일수]])=0,"",IF(AND(BI$5=$E32,$F32=1),중요_시점_표식,"")),"")</f>
        <v/>
      </c>
      <c r="BJ32" s="278" t="str">
        <f>IFERROR(IF(LEN(중요_시점[[#This Row],[일수]])=0,"",IF(AND(BJ$5=$E32,$F32=1),중요_시점_표식,"")),"")</f>
        <v/>
      </c>
      <c r="BK32" s="278" t="str">
        <f>IFERROR(IF(LEN(중요_시점[[#This Row],[일수]])=0,"",IF(AND(BK$5=$E32,$F32=1),중요_시점_표식,"")),"")</f>
        <v/>
      </c>
    </row>
    <row r="33" spans="1:63" s="279" customFormat="1" ht="30" customHeight="1" thickBot="1">
      <c r="A33" s="243" t="s">
        <v>1616</v>
      </c>
      <c r="B33" s="280" t="s">
        <v>1617</v>
      </c>
      <c r="C33" s="280"/>
      <c r="D33" s="280"/>
      <c r="E33" s="281"/>
      <c r="F33" s="280"/>
      <c r="G33" s="282"/>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283"/>
      <c r="AF33" s="283"/>
      <c r="AG33" s="283"/>
      <c r="AH33" s="283"/>
      <c r="AI33" s="283"/>
      <c r="AJ33" s="283"/>
      <c r="AK33" s="283"/>
      <c r="AL33" s="283"/>
      <c r="AM33" s="283"/>
      <c r="AN33" s="283"/>
      <c r="AO33" s="283"/>
      <c r="AP33" s="283"/>
      <c r="AQ33" s="283"/>
      <c r="AR33" s="283"/>
      <c r="AS33" s="283"/>
      <c r="AT33" s="283"/>
      <c r="AU33" s="283"/>
      <c r="AV33" s="283"/>
      <c r="AW33" s="283"/>
      <c r="AX33" s="283"/>
      <c r="AY33" s="283"/>
      <c r="AZ33" s="283"/>
      <c r="BA33" s="283"/>
      <c r="BB33" s="283"/>
      <c r="BC33" s="283"/>
      <c r="BD33" s="283"/>
      <c r="BE33" s="283"/>
      <c r="BF33" s="283"/>
      <c r="BG33" s="283"/>
      <c r="BH33" s="283"/>
      <c r="BI33" s="283"/>
      <c r="BJ33" s="283"/>
      <c r="BK33" s="283"/>
    </row>
    <row r="34" spans="1:63" s="246" customFormat="1" ht="30" customHeight="1">
      <c r="A34" s="271"/>
      <c r="D34" s="284"/>
      <c r="E34" s="259"/>
      <c r="F34" s="285"/>
      <c r="G34" s="286"/>
    </row>
    <row r="35" spans="1:63" ht="30" customHeight="1">
      <c r="D35" s="287"/>
    </row>
  </sheetData>
  <mergeCells count="1">
    <mergeCell ref="E2:F2"/>
  </mergeCells>
  <phoneticPr fontId="2" type="noConversion"/>
  <conditionalFormatting sqref="H8:BK32">
    <cfRule type="expression" dxfId="4" priority="5">
      <formula>H$5&lt;=오늘​​</formula>
    </cfRule>
  </conditionalFormatting>
  <conditionalFormatting sqref="H7:BK32">
    <cfRule type="expression" dxfId="3" priority="4" stopIfTrue="1">
      <formula>AND(H$5&gt;=$E7+1,H$5&lt;=$E7+$F7-2)</formula>
    </cfRule>
  </conditionalFormatting>
  <conditionalFormatting sqref="H5:BK6">
    <cfRule type="expression" dxfId="2" priority="1">
      <formula>H$5&lt;=TODAY()</formula>
    </cfRule>
  </conditionalFormatting>
  <dataValidations count="1">
    <dataValidation type="whole" operator="greaterThanOrEqual" allowBlank="1" showInputMessage="1" promptTitle="스크롤 증가값" prompt="이 숫자를 변경하면 Gantt 차트 보기가 스크롤됩니다." sqref="E3" xr:uid="{77039F41-AF49-4FA3-B801-3755BA3F8BED}">
      <formula1>0</formula1>
    </dataValidation>
  </dataValidations>
  <printOptions horizontalCentered="1"/>
  <pageMargins left="0.25" right="0.25" top="0.5" bottom="0.5" header="0.3" footer="0.3"/>
  <pageSetup paperSize="9" scale="46"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스크롤 막대 6">
              <controlPr defaultSize="0" autoPict="0" altText="Gantt 시간 표시줄을 스크롤하기 위한 스크롤 막대입니다.">
                <anchor moveWithCells="1">
                  <from>
                    <xdr:col>7</xdr:col>
                    <xdr:colOff>38100</xdr:colOff>
                    <xdr:row>2</xdr:row>
                    <xdr:rowOff>28575</xdr:rowOff>
                  </from>
                  <to>
                    <xdr:col>12</xdr:col>
                    <xdr:colOff>219075</xdr:colOff>
                    <xdr:row>2</xdr:row>
                    <xdr:rowOff>342900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3" id="{3A177C7D-7D86-4E72-8CA1-D2F111C34803}">
            <x14:iconSet iconSet="3Stars" showValue="0" custom="1">
              <x14:cfvo type="percent">
                <xm:f>0</xm:f>
              </x14:cfvo>
              <x14:cfvo type="num">
                <xm:f>1</xm:f>
              </x14:cfvo>
              <x14:cfvo type="num">
                <xm:f>2</xm:f>
              </x14:cfvo>
              <x14:cfIcon iconSet="3Signs" iconId="1"/>
              <x14:cfIcon iconSet="3Flags" iconId="0"/>
              <x14:cfIcon iconSet="3Signs" iconId="0"/>
            </x14:iconSet>
          </x14:cfRule>
          <xm:sqref>H7:BK32</xm:sqref>
        </x14:conditionalFormatting>
        <x14:conditionalFormatting xmlns:xm="http://schemas.microsoft.com/office/excel/2006/main">
          <x14:cfRule type="iconSet" priority="2" id="{9139DC57-A13A-4554-9BAA-1E6BF0C2E636}">
            <x14:iconSet iconSet="3Flags" showValue="0" custom="1">
              <x14:cfvo type="percent">
                <xm:f>0</xm:f>
              </x14:cfvo>
              <x14:cfvo type="num">
                <xm:f>1</xm:f>
              </x14:cfvo>
              <x14:cfvo type="num">
                <xm:f>2</xm:f>
              </x14:cfvo>
              <x14:cfIcon iconSet="3Signs" iconId="1"/>
              <x14:cfIcon iconSet="3Flags" iconId="0"/>
              <x14:cfIcon iconSet="3Signs" iconId="0"/>
            </x14:iconSet>
          </x14:cfRule>
          <xm:sqref>F4</xm:sqref>
        </x14:conditionalFormatting>
      </x14:conditionalFormattings>
    </ext>
  </extLst>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38</vt:i4>
      </vt:variant>
    </vt:vector>
  </HeadingPairs>
  <TitlesOfParts>
    <vt:vector size="47" baseType="lpstr">
      <vt:lpstr>Help</vt:lpstr>
      <vt:lpstr>Schedule</vt:lpstr>
      <vt:lpstr>Progress</vt:lpstr>
      <vt:lpstr>AnalysisReport</vt:lpstr>
      <vt:lpstr>Calendar</vt:lpstr>
      <vt:lpstr>TranslatedLanguages</vt:lpstr>
      <vt:lpstr>Workload</vt:lpstr>
      <vt:lpstr>ServerData</vt:lpstr>
      <vt:lpstr>Gantt</vt:lpstr>
      <vt:lpstr>ACTUAL_RATE</vt:lpstr>
      <vt:lpstr>ACTUAL_WORKLOAD</vt:lpstr>
      <vt:lpstr>ACTUAL_WORKLOAD2</vt:lpstr>
      <vt:lpstr>English_Name</vt:lpstr>
      <vt:lpstr>PLANNED_RATE</vt:lpstr>
      <vt:lpstr>PLANNED_WORKLOAD</vt:lpstr>
      <vt:lpstr>Schedule!Print_Area</vt:lpstr>
      <vt:lpstr>Gantt!Print_Titles</vt:lpstr>
      <vt:lpstr>Project_Start</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lpstr>스크롤_증분</vt:lpstr>
      <vt:lpstr>중요_시점_표식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iamwo</cp:lastModifiedBy>
  <cp:lastPrinted>2021-01-01T13:36:29Z</cp:lastPrinted>
  <dcterms:created xsi:type="dcterms:W3CDTF">2018-02-18T09:45:14Z</dcterms:created>
  <dcterms:modified xsi:type="dcterms:W3CDTF">2021-11-14T05:46:13Z</dcterms:modified>
</cp:coreProperties>
</file>